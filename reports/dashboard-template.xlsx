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f57a4847c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1b5aff2e2d4499"/>
    <x:sheet xmlns:r="http://schemas.openxmlformats.org/officeDocument/2006/relationships" name="Resumen" sheetId="2" r:id="R3768e60c4b604412"/>
    <x:sheet xmlns:r="http://schemas.openxmlformats.org/officeDocument/2006/relationships" name="Gestiones" sheetId="3" r:id="R05662dc67d2840ec"/>
    <x:sheet xmlns:r="http://schemas.openxmlformats.org/officeDocument/2006/relationships" name="Detalle" sheetId="4" r:id="Ra56a7b994134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&quot;L &quot;#,##0.00"/>
    <x:numFmt numFmtId="203" formatCode="0.0%"/>
    <x:numFmt numFmtId="204" formatCode="dd/mm/yyyy"/>
    <x:numFmt numFmtId="205" formatCode="dd/mm/yyyy hh:mm"/>
    <x:numFmt numFmtId="206" formatCode="@"/>
  </x:numFmts>
  <x:fonts count="17">
    <x:font>
      <x:sz val="11"/>
      <x:name val="Carlito"/>
    </x:font>
    <x:font>
      <x:sz val="10"/>
      <x:color rgb="FF34251F"/>
      <x:name val="Arial"/>
    </x:font>
    <x:font>
      <x:b/>
      <x:sz val="20"/>
      <x:color rgb="FF345A40"/>
      <x:name val="Arial"/>
    </x:font>
    <x:font>
      <x:b/>
      <x:sz val="16"/>
      <x:color rgb="FF34251F"/>
      <x:name val="Arial"/>
    </x:font>
    <x:font>
      <x:sz val="10"/>
      <x:color rgb="FF6B6B60"/>
      <x:name val="Arial"/>
    </x:font>
    <x:font>
      <x:b/>
      <x:sz val="10"/>
      <x:color rgb="FFFFFFFF"/>
      <x:name val="Arial"/>
    </x:font>
    <x:font>
      <x:b/>
      <x:sz val="25"/>
      <x:color rgb="FF345A40"/>
      <x:name val="Arial"/>
    </x:font>
    <x:font>
      <x:b/>
      <x:sz val="10"/>
      <x:color rgb="FF6B6B60"/>
      <x:name val="Arial"/>
    </x:font>
    <x:font>
      <x:b/>
      <x:sz val="20"/>
      <x:color rgb="FF34251F"/>
      <x:name val="Arial"/>
    </x:font>
    <x:font>
      <x:b/>
      <x:sz val="10"/>
      <x:color rgb="FF345A40"/>
      <x:name val="Arial"/>
    </x:font>
    <x:font>
      <x:sz val="11"/>
      <x:color rgb="FF1D608B"/>
      <x:name val="Arial"/>
    </x:font>
    <x:font>
      <x:sz val="9"/>
      <x:color rgb="FF6B6B60"/>
      <x:name val="Arial"/>
    </x:font>
    <x:font>
      <x:b/>
      <x:sz val="14"/>
      <x:color rgb="FF345A40"/>
      <x:name val="Arial"/>
    </x:font>
    <x:font>
      <x:sz val="10"/>
      <x:color rgb="FF6B6B60"/>
      <x:name val="Arial"/>
    </x:font>
    <x:font>
      <x:b/>
      <x:sz val="12"/>
      <x:color rgb="FF345A40"/>
      <x:name val="Arial"/>
    </x:font>
    <x:font>
      <x:b/>
      <x:sz val="9"/>
      <x:color rgb="FFFFFFFF"/>
      <x:name val="Arial"/>
    </x:font>
    <x:font>
      <x:sz val="9"/>
      <x:color rgb="FF3425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1E8"/>
      </x:patternFill>
    </x:fill>
    <x:fill>
      <x:patternFill patternType="solid">
        <x:fgColor rgb="FF345A40"/>
      </x:patternFill>
    </x:fill>
    <x:fill>
      <x:patternFill patternType="solid">
        <x:fgColor rgb="FFFFFFFF"/>
      </x:patternFill>
    </x:fill>
    <x:fill>
      <x:patternFill patternType="solid">
        <x:fgColor rgb="FFECEDE3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B89358"/>
      </x:bottom>
      <x:diagonal/>
    </x:border>
    <x:border>
      <x:left style="thin">
        <x:color rgb="FFD9D4C8"/>
      </x:left>
      <x:right/>
      <x:top style="thin">
        <x:color rgb="FFD9D4C8"/>
      </x:top>
      <x:bottom/>
      <x:diagonal/>
    </x:border>
    <x:border>
      <x:left/>
      <x:right/>
      <x:top style="thin">
        <x:color rgb="FFD9D4C8"/>
      </x:top>
      <x:bottom/>
      <x:diagonal/>
    </x:border>
    <x:border>
      <x:left/>
      <x:right style="thin">
        <x:color rgb="FFD9D4C8"/>
      </x:right>
      <x:top style="thin">
        <x:color rgb="FFD9D4C8"/>
      </x:top>
      <x:bottom/>
      <x:diagonal/>
    </x:border>
    <x:border>
      <x:left style="thin">
        <x:color rgb="FFD9D4C8"/>
      </x:left>
      <x:right/>
      <x:top/>
      <x:bottom style="thin">
        <x:color rgb="FFD9D4C8"/>
      </x:bottom>
      <x:diagonal/>
    </x:border>
    <x:border>
      <x:left/>
      <x:right/>
      <x:top/>
      <x:bottom style="thin">
        <x:color rgb="FFD9D4C8"/>
      </x:bottom>
      <x:diagonal/>
    </x:border>
    <x:border>
      <x:left/>
      <x:right style="thin">
        <x:color rgb="FFD9D4C8"/>
      </x:right>
      <x:top/>
      <x:bottom style="thin">
        <x:color rgb="FFD9D4C8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200" fontId="6" fillId="4" borderId="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202" fontId="8" fillId="4" borderId="0" xfId="0" applyNumberFormat="1" applyFont="1" applyFill="1" applyBorder="1" applyAlignment="1">
      <x:alignment horizontal="center" vertical="center"/>
    </x:xf>
    <x:xf numFmtId="203" fontId="8" fillId="4" borderId="0" xfId="0" applyNumberFormat="1" applyFont="1" applyFill="1" applyBorder="1" applyAlignment="1">
      <x:alignment horizontal="center" vertical="center"/>
    </x:xf>
    <x:xf numFmtId="20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 applyAlignment="1">
      <x:alignment horizontal="left" vertical="center"/>
    </x:xf>
    <x:xf numFmtId="0" fontId="10" fillId="4" borderId="2" xfId="0" applyNumberFormat="1" applyFont="1" applyFill="1" applyBorder="1" applyAlignment="1">
      <x:alignment horizontal="left" vertical="center"/>
    </x:xf>
    <x:xf numFmtId="0" fontId="10" fillId="4" borderId="3" xfId="0" applyNumberFormat="1" applyFont="1" applyFill="1" applyBorder="1" applyAlignment="1">
      <x:alignment horizontal="left" vertical="center"/>
    </x:xf>
    <x:xf numFmtId="0" fontId="10" fillId="4" borderId="4" xfId="0" applyNumberFormat="1" applyFont="1" applyFill="1" applyBorder="1" applyAlignment="1">
      <x:alignment horizontal="left" vertical="center"/>
    </x:xf>
    <x:xf numFmtId="0" fontId="10" fillId="4" borderId="5" xfId="0" applyNumberFormat="1" applyFont="1" applyFill="1" applyBorder="1" applyAlignment="1">
      <x:alignment horizontal="left" vertical="center"/>
    </x:xf>
    <x:xf numFmtId="0" fontId="10" fillId="4" borderId="6" xfId="0" applyNumberFormat="1" applyFont="1" applyFill="1" applyBorder="1" applyAlignment="1">
      <x:alignment horizontal="left" vertical="center"/>
    </x:xf>
    <x:xf numFmtId="0" fontId="10" fillId="4" borderId="7" xfId="0" applyNumberFormat="1" applyFont="1" applyFill="1" applyBorder="1" applyAlignment="1">
      <x:alignment horizontal="left" vertical="center"/>
    </x:xf>
    <x:xf numFmtId="204" fontId="10" fillId="4" borderId="2" xfId="0" applyNumberFormat="1" applyFont="1" applyFill="1" applyBorder="1" applyAlignment="1">
      <x:alignment horizontal="left" vertical="center"/>
    </x:xf>
    <x:xf numFmtId="204" fontId="10" fillId="4" borderId="3" xfId="0" applyNumberFormat="1" applyFont="1" applyFill="1" applyBorder="1" applyAlignment="1">
      <x:alignment horizontal="left" vertical="center"/>
    </x:xf>
    <x:xf numFmtId="204" fontId="10" fillId="4" borderId="4" xfId="0" applyNumberFormat="1" applyFont="1" applyFill="1" applyBorder="1" applyAlignment="1">
      <x:alignment horizontal="left" vertical="center"/>
    </x:xf>
    <x:xf numFmtId="204" fontId="10" fillId="4" borderId="5" xfId="0" applyNumberFormat="1" applyFont="1" applyFill="1" applyBorder="1" applyAlignment="1">
      <x:alignment horizontal="left" vertical="center"/>
    </x:xf>
    <x:xf numFmtId="204" fontId="10" fillId="4" borderId="6" xfId="0" applyNumberFormat="1" applyFont="1" applyFill="1" applyBorder="1" applyAlignment="1">
      <x:alignment horizontal="left" vertical="center"/>
    </x:xf>
    <x:xf numFmtId="204" fontId="10" fillId="4" borderId="7" xfId="0" applyNumberFormat="1" applyFont="1" applyFill="1" applyBorder="1" applyAlignment="1">
      <x:alignment horizontal="left"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 applyAlignment="1">
      <x:alignment horizontal="left" vertical="center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horizontal="left" vertical="center"/>
    </x:xf>
    <x:xf numFmtId="0" fontId="16" fillId="4" borderId="0" xfId="0" applyNumberFormat="1" applyFont="1" applyFill="1" applyBorder="1" applyAlignment="1">
      <x:alignment horizontal="left" vertical="center"/>
    </x:xf>
    <x:xf numFmtId="0" fontId="16" fillId="5" borderId="0" xfId="0" applyNumberFormat="1" applyFont="1" applyFill="1" applyBorder="1" applyAlignment="1">
      <x:alignment horizontal="left" vertical="center"/>
    </x:xf>
    <x:xf numFmtId="201" fontId="16" fillId="4" borderId="0" xfId="0" applyNumberFormat="1" applyFont="1" applyFill="1" applyBorder="1" applyAlignment="1">
      <x:alignment horizontal="left" vertical="center"/>
    </x:xf>
    <x:xf numFmtId="201" fontId="16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823e14c814210" /><Relationship Type="http://schemas.openxmlformats.org/officeDocument/2006/relationships/theme" Target="/xl/theme/theme1.xml" Id="Rd14787654f054c11" /><Relationship Type="http://schemas.openxmlformats.org/officeDocument/2006/relationships/sharedStrings" Target="/xl/sharedStrings.xml" Id="Rc36678fd10364c7f" /><Relationship Type="http://schemas.openxmlformats.org/officeDocument/2006/relationships/worksheet" Target="/xl/worksheets/sheet1.xml" Id="Rd61b5aff2e2d4499" /><Relationship Type="http://schemas.openxmlformats.org/officeDocument/2006/relationships/worksheet" Target="/xl/worksheets/sheet2.xml" Id="R3768e60c4b604412" /><Relationship Type="http://schemas.openxmlformats.org/officeDocument/2006/relationships/worksheet" Target="/xl/worksheets/sheet3.xml" Id="R05662dc67d2840ec" /><Relationship Type="http://schemas.openxmlformats.org/officeDocument/2006/relationships/worksheet" Target="/xl/worksheets/sheet4.xml" Id="Ra56a7b99413447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7997d58d1c460c" /><Relationship Type="http://schemas.openxmlformats.org/officeDocument/2006/relationships/chart" Target="/xl/drawings/charts/chart2.xml" Id="R1f932a1e64814251" /><Relationship Type="http://schemas.openxmlformats.org/officeDocument/2006/relationships/chart" Target="/xl/drawings/charts/chart3.xml" Id="R7977089bc3ac47b9" /><Relationship Type="http://schemas.openxmlformats.org/officeDocument/2006/relationships/chart" Target="/xl/drawings/charts/chart4.xml" Id="R4f9c2bc7ec524d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Devoluciones por período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34251F"/>
            </a:solidFill>
            <a:ln xmlns:a="http://schemas.openxmlformats.org/drawingml/2006/main" w="19050">
              <a:solidFill>
                <a:srgbClr val="34251F"/>
              </a:solidFill>
              <a:prstDash val="solid"/>
            </a:ln>
          </c:spPr>
          <c:marker>
            <c:symbol val="none"/>
          </c:marker>
          <c:cat>
            <c:strRef>
              <c:f>'Resumen'!$H$4:$H$34</c:f>
              <c:strCache>
                <c:ptCount val="0"/>
              </c:strCache>
            </c:strRef>
          </c:cat>
          <c:val>
            <c:numRef>
              <c:f>'Resumen'!$I$4:$I$34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Finalizadas</c:v>
          </c:tx>
          <c:spPr>
            <a:solidFill xmlns:a="http://schemas.openxmlformats.org/drawingml/2006/main">
              <a:srgbClr val="345A40"/>
            </a:solidFill>
            <a:ln xmlns:a="http://schemas.openxmlformats.org/drawingml/2006/main" w="19050">
              <a:solidFill>
                <a:srgbClr val="345A40"/>
              </a:solidFill>
              <a:prstDash val="solid"/>
            </a:ln>
          </c:spPr>
          <c:marker>
            <c:symbol val="none"/>
          </c:marker>
          <c:cat>
            <c:strRef>
              <c:f>'Resumen'!$H$4:$H$34</c:f>
              <c:strCache>
                <c:ptCount val="0"/>
              </c:strCache>
            </c:strRef>
          </c:cat>
          <c:val>
            <c:numRef>
              <c:f>'Resumen'!$J$4:$J$34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 proceso</c:v>
          </c:tx>
          <c:spPr>
            <a:solidFill xmlns:a="http://schemas.openxmlformats.org/drawingml/2006/main">
              <a:srgbClr val="B89358"/>
            </a:solidFill>
            <a:ln xmlns:a="http://schemas.openxmlformats.org/drawingml/2006/main" w="19050">
              <a:solidFill>
                <a:srgbClr val="B89358"/>
              </a:solidFill>
              <a:prstDash val="solid"/>
            </a:ln>
          </c:spPr>
          <c:marker>
            <c:symbol val="none"/>
          </c:marker>
          <c:cat>
            <c:strRef>
              <c:f>'Resumen'!$H$4:$H$34</c:f>
              <c:strCache>
                <c:ptCount val="0"/>
              </c:strCache>
            </c:strRef>
          </c:cat>
          <c:val>
            <c:numRef>
              <c:f>'Resumen'!$K$4:$K$34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Motivos de devolución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Gestiones</c:v>
          </c:tx>
          <c:spPr>
            <a:solidFill xmlns:a="http://schemas.openxmlformats.org/drawingml/2006/main">
              <a:srgbClr val="345A40"/>
            </a:solidFill>
          </c:spPr>
          <c:cat>
            <c:strRef>
              <c:f>'Resumen'!$AD$4:$AD$11</c:f>
              <c:strCache>
                <c:ptCount val="0"/>
              </c:strCache>
            </c:strRef>
          </c:cat>
          <c:val>
            <c:numRef>
              <c:f>'Resumen'!$AE$4:$AE$11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Tiempo entre niveles (horas)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Horas promedio</c:v>
          </c:tx>
          <c:spPr>
            <a:solidFill xmlns:a="http://schemas.openxmlformats.org/drawingml/2006/main">
              <a:srgbClr val="B89358"/>
            </a:solidFill>
            <a:ln xmlns:a="http://schemas.openxmlformats.org/drawingml/2006/main" w="19050">
              <a:solidFill>
                <a:srgbClr val="B89358"/>
              </a:solidFill>
              <a:prstDash val="solid"/>
            </a:ln>
          </c:spPr>
          <c:marker>
            <c:symbol val="none"/>
          </c:marker>
          <c:cat>
            <c:strRef>
              <c:f>'Resumen'!$D$4:$D$6</c:f>
              <c:strCache>
                <c:ptCount val="0"/>
              </c:strCache>
            </c:strRef>
          </c:cat>
          <c:val>
            <c:numRef>
              <c:f>'Resumen'!$E$4:$E$6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Registros por gestor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Gestiones</c:v>
          </c:tx>
          <c:spPr>
            <a:solidFill xmlns:a="http://schemas.openxmlformats.org/drawingml/2006/main">
              <a:srgbClr val="345A40"/>
            </a:solidFill>
          </c:spPr>
          <c:invertIfNegative val="0"/>
          <c:cat>
            <c:strRef>
              <c:f>'Resumen'!$AG$4:$AG$11</c:f>
              <c:strCache>
                <c:ptCount val="0"/>
              </c:strCache>
            </c:strRef>
          </c:cat>
          <c:val>
            <c:numRef>
              <c:f>'Resumen'!$AH$4:$AH$11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7997d58d1c460c"/>
        </a:graphicData>
      </a:graphic>
    </xdr:graphicFrame>
    <xdr:clientData/>
  </xdr:twoCellAnchor>
  <xdr:twoCellAnchor>
    <xdr:from>
      <xdr:col>18</xdr:col>
      <xdr:colOff>0</xdr:colOff>
      <xdr:row>10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932a1e64814251"/>
        </a:graphicData>
      </a:graphic>
    </xdr:graphicFrame>
    <xdr:clientData/>
  </xdr:twoCellAnchor>
  <xdr:twoCellAnchor>
    <xdr:from>
      <xdr:col>13</xdr:col>
      <xdr:colOff>0</xdr:colOff>
      <xdr:row>10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77089bc3ac47b9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24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c2bc7ec524d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stionesBIA" displayName="GestionesBIA" ref="A5:AC6" headerRowCount="1" totalsRowCount="0" totalsRowShown="0">
  <x:tableColumns count="29">
    <x:tableColumn id="1" name="Gestión"/>
    <x:tableColumn id="2" name="Fecha registro"/>
    <x:tableColumn id="3" name="Sede"/>
    <x:tableColumn id="4" name="Gestor N1"/>
    <x:tableColumn id="5" name="Cliente"/>
    <x:tableColumn id="6" name="Factura"/>
    <x:tableColumn id="7" name="Motivo"/>
    <x:tableColumn id="8" name="Estado"/>
    <x:tableColumn id="9" name="Bodega origen"/>
    <x:tableColumn id="10" name="Bodega destino"/>
    <x:tableColumn id="11" name="Liquidadora"/>
    <x:tableColumn id="12" name="Gestor N2"/>
    <x:tableColumn id="13" name="Gestor N4"/>
    <x:tableColumn id="14" name="Entrega liquidadora"/>
    <x:tableColumn id="15" name="Nota débito"/>
    <x:tableColumn id="16" name="Ingreso GP"/>
    <x:tableColumn id="17" name="Finalizada"/>
    <x:tableColumn id="18" name="N1–N2 (h)"/>
    <x:tableColumn id="19" name="N2–N3 (h)"/>
    <x:tableColumn id="20" name="N3–N4 (h)"/>
    <x:tableColumn id="21" name="N1–N4 (h)"/>
    <x:tableColumn id="22" name="Costo gestión (L)"/>
    <x:tableColumn id="23" name="Líneas producto"/>
    <x:tableColumn id="24" name="Incluida en Dashboard"/>
    <x:tableColumn id="25" name="Día registro"/>
    <x:tableColumn id="26" name="Comentario"/>
    <x:tableColumn id="27" name="ID Gestor N1"/>
    <x:tableColumn id="28" name="N1–N4 completo"/>
    <x:tableColumn id="29" name="Orden incluid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etalleBIA" displayName="DetalleBIA" ref="A5:AD6" headerRowCount="1" totalsRowCount="0" totalsRowShown="0">
  <x:tableColumns count="30">
    <x:tableColumn id="1" name="Gestión"/>
    <x:tableColumn id="2" name="Fecha registro"/>
    <x:tableColumn id="3" name="Sede"/>
    <x:tableColumn id="4" name="Gestor N1"/>
    <x:tableColumn id="5" name="Gestor N2"/>
    <x:tableColumn id="6" name="Gestor N4"/>
    <x:tableColumn id="7" name="Liquidadora"/>
    <x:tableColumn id="8" name="Factura"/>
    <x:tableColumn id="9" name="Cliente"/>
    <x:tableColumn id="10" name="Código"/>
    <x:tableColumn id="11" name="Descripción"/>
    <x:tableColumn id="12" name="Cantidad"/>
    <x:tableColumn id="13" name="Observación"/>
    <x:tableColumn id="14" name="Bodega origen"/>
    <x:tableColumn id="15" name="Bodega destino"/>
    <x:tableColumn id="16" name="Estado"/>
    <x:tableColumn id="17" name="Entrega liquidadora"/>
    <x:tableColumn id="18" name="Nota débito"/>
    <x:tableColumn id="19" name="Ingreso GP"/>
    <x:tableColumn id="20" name="Finalizada"/>
    <x:tableColumn id="21" name="N1–N2 (h)"/>
    <x:tableColumn id="22" name="N2–N3 (h)"/>
    <x:tableColumn id="23" name="N3–N4 (h)"/>
    <x:tableColumn id="24" name="N1–N4 (h)"/>
    <x:tableColumn id="25" name="Responsable actual"/>
    <x:tableColumn id="26" name="Comentarios"/>
    <x:tableColumn id="27" name="Conteo SKU"/>
    <x:tableColumn id="28" name="Costo unitario (L)"/>
    <x:tableColumn id="29" name="Costo línea (L)"/>
    <x:tableColumn id="30" name="Costo gestión (L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2d05739eb3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cd22380b8f4a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c55b18d01124f03" /></Relationships>
</file>

<file path=xl/worksheets/sheet1.xml><?xml version="1.0" encoding="utf-8"?>
<x:worksheet xmlns:x="http://schemas.openxmlformats.org/spreadsheetml/2006/main">
  <x:sheetPr>
    <x:tabColor rgb="FF345A40"/>
  </x:sheetPr>
  <x:sheetViews>
    <x:sheetView showGridLines="0" workbookViewId="0"/>
  </x:sheetViews>
  <x:sheetFormatPr defaultRowHeight="15"/>
  <x:cols>
    <x:col min="1" max="1" width="7.300000190734863" hidden="0" customWidth="1"/>
    <x:col min="2" max="2" width="7.300000190734863" hidden="0" customWidth="1"/>
    <x:col min="3" max="3" width="7.300000190734863" hidden="0" customWidth="1"/>
    <x:col min="4" max="4" width="7.300000190734863" hidden="0" customWidth="1"/>
    <x:col min="5" max="5" width="7.300000190734863" hidden="0" customWidth="1"/>
    <x:col min="6" max="6" width="7.300000190734863" hidden="0" customWidth="1"/>
    <x:col min="7" max="7" width="7.300000190734863" hidden="0" customWidth="1"/>
    <x:col min="8" max="8" width="7.300000190734863" hidden="0" customWidth="1"/>
    <x:col min="9" max="9" width="7.300000190734863" hidden="0" customWidth="1"/>
    <x:col min="10" max="10" width="7.300000190734863" hidden="0" customWidth="1"/>
    <x:col min="11" max="11" width="7.300000190734863" hidden="0" customWidth="1"/>
    <x:col min="12" max="12" width="7.300000190734863" hidden="0" customWidth="1"/>
    <x:col min="13" max="13" width="7.300000190734863" hidden="0" customWidth="1"/>
    <x:col min="14" max="14" width="7.300000190734863" hidden="0" customWidth="1"/>
    <x:col min="15" max="15" width="7.300000190734863" hidden="0" customWidth="1"/>
    <x:col min="16" max="16" width="7.300000190734863" hidden="0" customWidth="1"/>
    <x:col min="17" max="17" width="7.300000190734863" hidden="0" customWidth="1"/>
    <x:col min="18" max="18" width="7.300000190734863" hidden="0" customWidth="1"/>
    <x:col min="19" max="19" width="7.300000190734863" hidden="0" customWidth="1"/>
    <x:col min="20" max="20" width="7.300000190734863" hidden="0" customWidth="1"/>
    <x:col min="21" max="21" width="7.300000190734863" hidden="0" customWidth="1"/>
    <x:col min="22" max="22" width="7.300000190734863" hidden="0" customWidth="1"/>
    <x:col min="23" max="23" width="7.300000190734863" hidden="0" customWidth="1"/>
    <x:col min="24" max="24" width="7.300000190734863" hidden="0" customWidth="1"/>
  </x:cols>
  <x:sheetData>
    <x:row r="1" ht="12" customHeight="1">
      <x:c r="A1" s="5" t="str">
        <x:v>BIA HONDURAS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1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2" customHeight="1">
      <x:c r="A3" s="7" t="str">
        <x:v>CONTROL DE DEVOLUCIONES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16" customHeight="1">
      <x:c r="A4" s="9" t="str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ht="12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ht="12" customHeight="1">
      <x:c r="A6" s="13" t="str">
        <x:v>TOTAL DEVOLUCIONES</x:v>
      </x:c>
      <x:c r="B6" s="13"/>
      <x:c r="C6" s="13"/>
      <x:c r="D6" s="13"/>
      <x:c r="E6" s="13"/>
      <x:c r="F6" s="13"/>
      <x:c r="G6" s="13" t="str">
        <x:v>TIEMPO N1–N4 (HORAS)</x:v>
      </x:c>
      <x:c r="H6" s="13"/>
      <x:c r="I6" s="13"/>
      <x:c r="J6" s="13"/>
      <x:c r="K6" s="13"/>
      <x:c r="L6" s="13"/>
      <x:c r="M6" s="13" t="str">
        <x:v>DEVOLUCIONES RESUELTAS</x:v>
      </x:c>
      <x:c r="N6" s="13"/>
      <x:c r="O6" s="13"/>
      <x:c r="P6" s="13"/>
      <x:c r="Q6" s="13"/>
      <x:c r="R6" s="13"/>
      <x:c r="S6" s="13" t="str">
        <x:v>GESTORES ACTIVOS</x:v>
      </x:c>
      <x:c r="T6" s="13"/>
      <x:c r="U6" s="13"/>
      <x:c r="V6" s="13"/>
      <x:c r="W6" s="13"/>
      <x:c r="X6" s="13"/>
      <x:c r="Y6" s="2"/>
      <x:c r="Z6" s="2"/>
      <x:c r="AA6" s="2"/>
      <x:c r="AB6" s="2"/>
      <x:c r="AC6" s="2"/>
      <x:c r="AD6" s="2"/>
      <x:c r="AE6" s="2"/>
      <x:c r="AF6" s="2"/>
      <x:c r="AG6" s="2"/>
      <x:c r="AH6" s="2"/>
    </x:row>
    <x:row r="7" ht="12" customHeight="1">
      <x:c r="A7" s="17" t="n">
        <x:f>Resumen!B4</x:f>
        <x:v>0</x:v>
      </x:c>
      <x:c r="B7" s="17"/>
      <x:c r="C7" s="17"/>
      <x:c r="D7" s="17"/>
      <x:c r="E7" s="17"/>
      <x:c r="F7" s="17"/>
      <x:c r="G7" s="18" t="str">
        <x:f>Resumen!B5</x:f>
        <x:v>Sin completar</x:v>
      </x:c>
      <x:c r="H7" s="18"/>
      <x:c r="I7" s="18"/>
      <x:c r="J7" s="18"/>
      <x:c r="K7" s="18"/>
      <x:c r="L7" s="18"/>
      <x:c r="M7" s="17" t="n">
        <x:f>Resumen!B6</x:f>
        <x:v>0</x:v>
      </x:c>
      <x:c r="N7" s="17"/>
      <x:c r="O7" s="17"/>
      <x:c r="P7" s="17"/>
      <x:c r="Q7" s="17"/>
      <x:c r="R7" s="17"/>
      <x:c r="S7" s="17" t="n">
        <x:f>Resumen!B7</x:f>
        <x:v>0</x:v>
      </x:c>
      <x:c r="T7" s="17"/>
      <x:c r="U7" s="17"/>
      <x:c r="V7" s="17"/>
      <x:c r="W7" s="17"/>
      <x:c r="X7" s="17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 ht="12" customHeight="1">
      <x:c r="A8" s="17"/>
      <x:c r="B8" s="17"/>
      <x:c r="C8" s="17"/>
      <x:c r="D8" s="17"/>
      <x:c r="E8" s="17"/>
      <x:c r="F8" s="17"/>
      <x:c r="G8" s="18"/>
      <x:c r="H8" s="18"/>
      <x:c r="I8" s="18"/>
      <x:c r="J8" s="18"/>
      <x:c r="K8" s="18"/>
      <x:c r="L8" s="18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2"/>
      <x:c r="Z8" s="2"/>
      <x:c r="AA8" s="2"/>
      <x:c r="AB8" s="2"/>
      <x:c r="AC8" s="2"/>
      <x:c r="AD8" s="2"/>
      <x:c r="AE8" s="2"/>
      <x:c r="AF8" s="2"/>
      <x:c r="AG8" s="2"/>
      <x:c r="AH8" s="2"/>
    </x:row>
    <x:row r="9" ht="12" customHeight="1">
      <x:c r="A9" s="17"/>
      <x:c r="B9" s="17"/>
      <x:c r="C9" s="17"/>
      <x:c r="D9" s="17"/>
      <x:c r="E9" s="17"/>
      <x:c r="F9" s="17"/>
      <x:c r="G9" s="18"/>
      <x:c r="H9" s="18"/>
      <x:c r="I9" s="18"/>
      <x:c r="J9" s="18"/>
      <x:c r="K9" s="18"/>
      <x:c r="L9" s="18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2"/>
      <x:c r="Z9" s="2"/>
      <x:c r="AA9" s="2"/>
      <x:c r="AB9" s="2"/>
      <x:c r="AC9" s="2"/>
      <x:c r="AD9" s="2"/>
      <x:c r="AE9" s="2"/>
      <x:c r="AF9" s="2"/>
      <x:c r="AG9" s="2"/>
      <x:c r="AH9" s="2"/>
    </x:row>
    <x:row r="10" ht="1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</x:row>
    <x:row r="11" ht="1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</x:row>
    <x:row r="12" ht="1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</x:row>
    <x:row r="13" ht="1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 ht="1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 ht="1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 ht="1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1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1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1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1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1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1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 ht="1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ht="1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 ht="1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 ht="1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 ht="1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 ht="12" customHeight="1">
      <x:c r="A28" s="65" t="str">
        <x:v>GESTIONES RECIENTES</x:v>
      </x:c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3"/>
      <x:c r="T28" s="3"/>
      <x:c r="U28" s="3"/>
      <x:c r="V28" s="3"/>
      <x:c r="W28" s="3"/>
      <x:c r="X28" s="3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 ht="1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 ht="12" customHeight="1">
      <x:c r="A30" s="68" t="str">
        <x:v>Gestión</x:v>
      </x:c>
      <x:c r="B30" s="68"/>
      <x:c r="C30" s="68"/>
      <x:c r="D30" s="68" t="str">
        <x:v>Sede</x:v>
      </x:c>
      <x:c r="E30" s="68"/>
      <x:c r="F30" s="68" t="str">
        <x:v>Cliente</x:v>
      </x:c>
      <x:c r="G30" s="68"/>
      <x:c r="H30" s="68"/>
      <x:c r="I30" s="68"/>
      <x:c r="J30" s="68"/>
      <x:c r="K30" s="68" t="str">
        <x:v>Motivo</x:v>
      </x:c>
      <x:c r="L30" s="68"/>
      <x:c r="M30" s="68"/>
      <x:c r="N30" s="68"/>
      <x:c r="O30" s="68"/>
      <x:c r="P30" s="68" t="str">
        <x:v>N1–N4 (h)</x:v>
      </x:c>
      <x:c r="Q30" s="68"/>
      <x:c r="R30" s="68"/>
      <x:c r="S30" s="3"/>
      <x:c r="T30" s="3"/>
      <x:c r="U30" s="3"/>
      <x:c r="V30" s="3"/>
      <x:c r="W30" s="3"/>
      <x:c r="X30" s="3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ht="12" customHeight="1">
      <x:c r="A31" s="71" t="str">
        <x:f>IF(1&gt;Resumen!$B$4,"",INDEX(Gestiones!$A$6:$A$6,MATCH(1,Gestiones!$AC$6:$AC$6,0)))</x:f>
      </x:c>
      <x:c r="B31" s="71"/>
      <x:c r="C31" s="71"/>
      <x:c r="D31" s="71" t="str">
        <x:f>IF(1&gt;Resumen!$B$4,"",INDEX(Gestiones!$C$6:$C$6,MATCH(1,Gestiones!$AC$6:$AC$6,0)))</x:f>
      </x:c>
      <x:c r="E31" s="71"/>
      <x:c r="F31" s="71" t="str">
        <x:f>IF(1&gt;Resumen!$B$4,"",INDEX(Gestiones!$E$6:$E$6,MATCH(1,Gestiones!$AC$6:$AC$6,0)))</x:f>
      </x:c>
      <x:c r="G31" s="71"/>
      <x:c r="H31" s="71"/>
      <x:c r="I31" s="71"/>
      <x:c r="J31" s="71"/>
      <x:c r="K31" s="71" t="str">
        <x:f>IF(1&gt;Resumen!$B$4,"",INDEX(Gestiones!$G$6:$G$6,MATCH(1,Gestiones!$AC$6:$AC$6,0)))</x:f>
      </x:c>
      <x:c r="L31" s="71"/>
      <x:c r="M31" s="71"/>
      <x:c r="N31" s="71"/>
      <x:c r="O31" s="71"/>
      <x:c r="P31" s="73" t="str">
        <x:f>IF(1&gt;Resumen!$B$4,"",INDEX(Gestiones!$U$6:$U$6,MATCH(1,Gestiones!$AC$6:$AC$6,0)))</x:f>
      </x:c>
      <x:c r="Q31" s="73"/>
      <x:c r="R31" s="73"/>
      <x:c r="S31" s="3"/>
      <x:c r="T31" s="3"/>
      <x:c r="U31" s="3"/>
      <x:c r="V31" s="3"/>
      <x:c r="W31" s="3"/>
      <x:c r="X31" s="3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 ht="12" customHeight="1">
      <x:c r="A32" s="72" t="str">
        <x:f>IF(2&gt;Resumen!$B$4,"",INDEX(Gestiones!$A$6:$A$6,MATCH(2,Gestiones!$AC$6:$AC$6,0)))</x:f>
      </x:c>
      <x:c r="B32" s="72"/>
      <x:c r="C32" s="72"/>
      <x:c r="D32" s="72" t="str">
        <x:f>IF(2&gt;Resumen!$B$4,"",INDEX(Gestiones!$C$6:$C$6,MATCH(2,Gestiones!$AC$6:$AC$6,0)))</x:f>
      </x:c>
      <x:c r="E32" s="72"/>
      <x:c r="F32" s="72" t="str">
        <x:f>IF(2&gt;Resumen!$B$4,"",INDEX(Gestiones!$E$6:$E$6,MATCH(2,Gestiones!$AC$6:$AC$6,0)))</x:f>
      </x:c>
      <x:c r="G32" s="72"/>
      <x:c r="H32" s="72"/>
      <x:c r="I32" s="72"/>
      <x:c r="J32" s="72"/>
      <x:c r="K32" s="72" t="str">
        <x:f>IF(2&gt;Resumen!$B$4,"",INDEX(Gestiones!$G$6:$G$6,MATCH(2,Gestiones!$AC$6:$AC$6,0)))</x:f>
      </x:c>
      <x:c r="L32" s="72"/>
      <x:c r="M32" s="72"/>
      <x:c r="N32" s="72"/>
      <x:c r="O32" s="72"/>
      <x:c r="P32" s="74" t="str">
        <x:f>IF(2&gt;Resumen!$B$4,"",INDEX(Gestiones!$U$6:$U$6,MATCH(2,Gestiones!$AC$6:$AC$6,0)))</x:f>
      </x:c>
      <x:c r="Q32" s="74"/>
      <x:c r="R32" s="74"/>
      <x:c r="S32" s="3"/>
      <x:c r="T32" s="3"/>
      <x:c r="U32" s="3"/>
      <x:c r="V32" s="3"/>
      <x:c r="W32" s="3"/>
      <x:c r="X32" s="3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ht="12" customHeight="1">
      <x:c r="A33" s="71" t="str">
        <x:f>IF(3&gt;Resumen!$B$4,"",INDEX(Gestiones!$A$6:$A$6,MATCH(3,Gestiones!$AC$6:$AC$6,0)))</x:f>
      </x:c>
      <x:c r="B33" s="71"/>
      <x:c r="C33" s="71"/>
      <x:c r="D33" s="71" t="str">
        <x:f>IF(3&gt;Resumen!$B$4,"",INDEX(Gestiones!$C$6:$C$6,MATCH(3,Gestiones!$AC$6:$AC$6,0)))</x:f>
      </x:c>
      <x:c r="E33" s="71"/>
      <x:c r="F33" s="71" t="str">
        <x:f>IF(3&gt;Resumen!$B$4,"",INDEX(Gestiones!$E$6:$E$6,MATCH(3,Gestiones!$AC$6:$AC$6,0)))</x:f>
      </x:c>
      <x:c r="G33" s="71"/>
      <x:c r="H33" s="71"/>
      <x:c r="I33" s="71"/>
      <x:c r="J33" s="71"/>
      <x:c r="K33" s="71" t="str">
        <x:f>IF(3&gt;Resumen!$B$4,"",INDEX(Gestiones!$G$6:$G$6,MATCH(3,Gestiones!$AC$6:$AC$6,0)))</x:f>
      </x:c>
      <x:c r="L33" s="71"/>
      <x:c r="M33" s="71"/>
      <x:c r="N33" s="71"/>
      <x:c r="O33" s="71"/>
      <x:c r="P33" s="73" t="str">
        <x:f>IF(3&gt;Resumen!$B$4,"",INDEX(Gestiones!$U$6:$U$6,MATCH(3,Gestiones!$AC$6:$AC$6,0)))</x:f>
      </x:c>
      <x:c r="Q33" s="73"/>
      <x:c r="R33" s="73"/>
      <x:c r="S33" s="3"/>
      <x:c r="T33" s="3"/>
      <x:c r="U33" s="3"/>
      <x:c r="V33" s="3"/>
      <x:c r="W33" s="3"/>
      <x:c r="X33" s="3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 ht="12" customHeight="1">
      <x:c r="A34" s="72" t="str">
        <x:f>IF(4&gt;Resumen!$B$4,"",INDEX(Gestiones!$A$6:$A$6,MATCH(4,Gestiones!$AC$6:$AC$6,0)))</x:f>
      </x:c>
      <x:c r="B34" s="72"/>
      <x:c r="C34" s="72"/>
      <x:c r="D34" s="72" t="str">
        <x:f>IF(4&gt;Resumen!$B$4,"",INDEX(Gestiones!$C$6:$C$6,MATCH(4,Gestiones!$AC$6:$AC$6,0)))</x:f>
      </x:c>
      <x:c r="E34" s="72"/>
      <x:c r="F34" s="72" t="str">
        <x:f>IF(4&gt;Resumen!$B$4,"",INDEX(Gestiones!$E$6:$E$6,MATCH(4,Gestiones!$AC$6:$AC$6,0)))</x:f>
      </x:c>
      <x:c r="G34" s="72"/>
      <x:c r="H34" s="72"/>
      <x:c r="I34" s="72"/>
      <x:c r="J34" s="72"/>
      <x:c r="K34" s="72" t="str">
        <x:f>IF(4&gt;Resumen!$B$4,"",INDEX(Gestiones!$G$6:$G$6,MATCH(4,Gestiones!$AC$6:$AC$6,0)))</x:f>
      </x:c>
      <x:c r="L34" s="72"/>
      <x:c r="M34" s="72"/>
      <x:c r="N34" s="72"/>
      <x:c r="O34" s="72"/>
      <x:c r="P34" s="74" t="str">
        <x:f>IF(4&gt;Resumen!$B$4,"",INDEX(Gestiones!$U$6:$U$6,MATCH(4,Gestiones!$AC$6:$AC$6,0)))</x:f>
      </x:c>
      <x:c r="Q34" s="74"/>
      <x:c r="R34" s="74"/>
      <x:c r="S34" s="3"/>
      <x:c r="T34" s="3"/>
      <x:c r="U34" s="3"/>
      <x:c r="V34" s="3"/>
      <x:c r="W34" s="3"/>
      <x:c r="X34" s="3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 ht="12" customHeight="1">
      <x:c r="A35" s="71" t="str">
        <x:f>IF(5&gt;Resumen!$B$4,"",INDEX(Gestiones!$A$6:$A$6,MATCH(5,Gestiones!$AC$6:$AC$6,0)))</x:f>
      </x:c>
      <x:c r="B35" s="71"/>
      <x:c r="C35" s="71"/>
      <x:c r="D35" s="71" t="str">
        <x:f>IF(5&gt;Resumen!$B$4,"",INDEX(Gestiones!$C$6:$C$6,MATCH(5,Gestiones!$AC$6:$AC$6,0)))</x:f>
      </x:c>
      <x:c r="E35" s="71"/>
      <x:c r="F35" s="71" t="str">
        <x:f>IF(5&gt;Resumen!$B$4,"",INDEX(Gestiones!$E$6:$E$6,MATCH(5,Gestiones!$AC$6:$AC$6,0)))</x:f>
      </x:c>
      <x:c r="G35" s="71"/>
      <x:c r="H35" s="71"/>
      <x:c r="I35" s="71"/>
      <x:c r="J35" s="71"/>
      <x:c r="K35" s="71" t="str">
        <x:f>IF(5&gt;Resumen!$B$4,"",INDEX(Gestiones!$G$6:$G$6,MATCH(5,Gestiones!$AC$6:$AC$6,0)))</x:f>
      </x:c>
      <x:c r="L35" s="71"/>
      <x:c r="M35" s="71"/>
      <x:c r="N35" s="71"/>
      <x:c r="O35" s="71"/>
      <x:c r="P35" s="73" t="str">
        <x:f>IF(5&gt;Resumen!$B$4,"",INDEX(Gestiones!$U$6:$U$6,MATCH(5,Gestiones!$AC$6:$AC$6,0)))</x:f>
      </x:c>
      <x:c r="Q35" s="73"/>
      <x:c r="R35" s="73"/>
      <x:c r="S35" s="3"/>
      <x:c r="T35" s="3"/>
      <x:c r="U35" s="3"/>
      <x:c r="V35" s="3"/>
      <x:c r="W35" s="3"/>
      <x:c r="X35" s="3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 ht="12" customHeight="1">
      <x:c r="A36" s="72" t="str">
        <x:f>IF(6&gt;Resumen!$B$4,"",INDEX(Gestiones!$A$6:$A$6,MATCH(6,Gestiones!$AC$6:$AC$6,0)))</x:f>
      </x:c>
      <x:c r="B36" s="72"/>
      <x:c r="C36" s="72"/>
      <x:c r="D36" s="72" t="str">
        <x:f>IF(6&gt;Resumen!$B$4,"",INDEX(Gestiones!$C$6:$C$6,MATCH(6,Gestiones!$AC$6:$AC$6,0)))</x:f>
      </x:c>
      <x:c r="E36" s="72"/>
      <x:c r="F36" s="72" t="str">
        <x:f>IF(6&gt;Resumen!$B$4,"",INDEX(Gestiones!$E$6:$E$6,MATCH(6,Gestiones!$AC$6:$AC$6,0)))</x:f>
      </x:c>
      <x:c r="G36" s="72"/>
      <x:c r="H36" s="72"/>
      <x:c r="I36" s="72"/>
      <x:c r="J36" s="72"/>
      <x:c r="K36" s="72" t="str">
        <x:f>IF(6&gt;Resumen!$B$4,"",INDEX(Gestiones!$G$6:$G$6,MATCH(6,Gestiones!$AC$6:$AC$6,0)))</x:f>
      </x:c>
      <x:c r="L36" s="72"/>
      <x:c r="M36" s="72"/>
      <x:c r="N36" s="72"/>
      <x:c r="O36" s="72"/>
      <x:c r="P36" s="74" t="str">
        <x:f>IF(6&gt;Resumen!$B$4,"",INDEX(Gestiones!$U$6:$U$6,MATCH(6,Gestiones!$AC$6:$AC$6,0)))</x:f>
      </x:c>
      <x:c r="Q36" s="74"/>
      <x:c r="R36" s="74"/>
      <x:c r="S36" s="3"/>
      <x:c r="T36" s="3"/>
      <x:c r="U36" s="3"/>
      <x:c r="V36" s="3"/>
      <x:c r="W36" s="3"/>
      <x:c r="X36" s="3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 ht="12" customHeight="1">
      <x:c r="A37" s="71" t="str">
        <x:f>IF(7&gt;Resumen!$B$4,"",INDEX(Gestiones!$A$6:$A$6,MATCH(7,Gestiones!$AC$6:$AC$6,0)))</x:f>
      </x:c>
      <x:c r="B37" s="71"/>
      <x:c r="C37" s="71"/>
      <x:c r="D37" s="71" t="str">
        <x:f>IF(7&gt;Resumen!$B$4,"",INDEX(Gestiones!$C$6:$C$6,MATCH(7,Gestiones!$AC$6:$AC$6,0)))</x:f>
      </x:c>
      <x:c r="E37" s="71"/>
      <x:c r="F37" s="71" t="str">
        <x:f>IF(7&gt;Resumen!$B$4,"",INDEX(Gestiones!$E$6:$E$6,MATCH(7,Gestiones!$AC$6:$AC$6,0)))</x:f>
      </x:c>
      <x:c r="G37" s="71"/>
      <x:c r="H37" s="71"/>
      <x:c r="I37" s="71"/>
      <x:c r="J37" s="71"/>
      <x:c r="K37" s="71" t="str">
        <x:f>IF(7&gt;Resumen!$B$4,"",INDEX(Gestiones!$G$6:$G$6,MATCH(7,Gestiones!$AC$6:$AC$6,0)))</x:f>
      </x:c>
      <x:c r="L37" s="71"/>
      <x:c r="M37" s="71"/>
      <x:c r="N37" s="71"/>
      <x:c r="O37" s="71"/>
      <x:c r="P37" s="73" t="str">
        <x:f>IF(7&gt;Resumen!$B$4,"",INDEX(Gestiones!$U$6:$U$6,MATCH(7,Gestiones!$AC$6:$AC$6,0)))</x:f>
      </x:c>
      <x:c r="Q37" s="73"/>
      <x:c r="R37" s="73"/>
      <x:c r="S37" s="3"/>
      <x:c r="T37" s="3"/>
      <x:c r="U37" s="3"/>
      <x:c r="V37" s="3"/>
      <x:c r="W37" s="3"/>
      <x:c r="X37" s="3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 ht="12" customHeight="1">
      <x:c r="A38" s="72" t="str">
        <x:f>IF(8&gt;Resumen!$B$4,"",INDEX(Gestiones!$A$6:$A$6,MATCH(8,Gestiones!$AC$6:$AC$6,0)))</x:f>
      </x:c>
      <x:c r="B38" s="72"/>
      <x:c r="C38" s="72"/>
      <x:c r="D38" s="72" t="str">
        <x:f>IF(8&gt;Resumen!$B$4,"",INDEX(Gestiones!$C$6:$C$6,MATCH(8,Gestiones!$AC$6:$AC$6,0)))</x:f>
      </x:c>
      <x:c r="E38" s="72"/>
      <x:c r="F38" s="72" t="str">
        <x:f>IF(8&gt;Resumen!$B$4,"",INDEX(Gestiones!$E$6:$E$6,MATCH(8,Gestiones!$AC$6:$AC$6,0)))</x:f>
      </x:c>
      <x:c r="G38" s="72"/>
      <x:c r="H38" s="72"/>
      <x:c r="I38" s="72"/>
      <x:c r="J38" s="72"/>
      <x:c r="K38" s="72" t="str">
        <x:f>IF(8&gt;Resumen!$B$4,"",INDEX(Gestiones!$G$6:$G$6,MATCH(8,Gestiones!$AC$6:$AC$6,0)))</x:f>
      </x:c>
      <x:c r="L38" s="72"/>
      <x:c r="M38" s="72"/>
      <x:c r="N38" s="72"/>
      <x:c r="O38" s="72"/>
      <x:c r="P38" s="74" t="str">
        <x:f>IF(8&gt;Resumen!$B$4,"",INDEX(Gestiones!$U$6:$U$6,MATCH(8,Gestiones!$AC$6:$AC$6,0)))</x:f>
      </x:c>
      <x:c r="Q38" s="74"/>
      <x:c r="R38" s="74"/>
      <x:c r="S38" s="3"/>
      <x:c r="T38" s="3"/>
      <x:c r="U38" s="3"/>
      <x:c r="V38" s="3"/>
      <x:c r="W38" s="3"/>
      <x:c r="X38" s="3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 ht="12" customHeight="1">
      <x:c r="A39" s="71" t="str">
        <x:f>IF(9&gt;Resumen!$B$4,"",INDEX(Gestiones!$A$6:$A$6,MATCH(9,Gestiones!$AC$6:$AC$6,0)))</x:f>
      </x:c>
      <x:c r="B39" s="71"/>
      <x:c r="C39" s="71"/>
      <x:c r="D39" s="71" t="str">
        <x:f>IF(9&gt;Resumen!$B$4,"",INDEX(Gestiones!$C$6:$C$6,MATCH(9,Gestiones!$AC$6:$AC$6,0)))</x:f>
      </x:c>
      <x:c r="E39" s="71"/>
      <x:c r="F39" s="71" t="str">
        <x:f>IF(9&gt;Resumen!$B$4,"",INDEX(Gestiones!$E$6:$E$6,MATCH(9,Gestiones!$AC$6:$AC$6,0)))</x:f>
      </x:c>
      <x:c r="G39" s="71"/>
      <x:c r="H39" s="71"/>
      <x:c r="I39" s="71"/>
      <x:c r="J39" s="71"/>
      <x:c r="K39" s="71" t="str">
        <x:f>IF(9&gt;Resumen!$B$4,"",INDEX(Gestiones!$G$6:$G$6,MATCH(9,Gestiones!$AC$6:$AC$6,0)))</x:f>
      </x:c>
      <x:c r="L39" s="71"/>
      <x:c r="M39" s="71"/>
      <x:c r="N39" s="71"/>
      <x:c r="O39" s="71"/>
      <x:c r="P39" s="73" t="str">
        <x:f>IF(9&gt;Resumen!$B$4,"",INDEX(Gestiones!$U$6:$U$6,MATCH(9,Gestiones!$AC$6:$AC$6,0)))</x:f>
      </x:c>
      <x:c r="Q39" s="73"/>
      <x:c r="R39" s="73"/>
      <x:c r="S39" s="3"/>
      <x:c r="T39" s="3"/>
      <x:c r="U39" s="3"/>
      <x:c r="V39" s="3"/>
      <x:c r="W39" s="3"/>
      <x:c r="X39" s="3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 ht="12" customHeight="1">
      <x:c r="A40" s="72" t="str">
        <x:f>IF(10&gt;Resumen!$B$4,"",INDEX(Gestiones!$A$6:$A$6,MATCH(10,Gestiones!$AC$6:$AC$6,0)))</x:f>
      </x:c>
      <x:c r="B40" s="72"/>
      <x:c r="C40" s="72"/>
      <x:c r="D40" s="72" t="str">
        <x:f>IF(10&gt;Resumen!$B$4,"",INDEX(Gestiones!$C$6:$C$6,MATCH(10,Gestiones!$AC$6:$AC$6,0)))</x:f>
      </x:c>
      <x:c r="E40" s="72"/>
      <x:c r="F40" s="72" t="str">
        <x:f>IF(10&gt;Resumen!$B$4,"",INDEX(Gestiones!$E$6:$E$6,MATCH(10,Gestiones!$AC$6:$AC$6,0)))</x:f>
      </x:c>
      <x:c r="G40" s="72"/>
      <x:c r="H40" s="72"/>
      <x:c r="I40" s="72"/>
      <x:c r="J40" s="72"/>
      <x:c r="K40" s="72" t="str">
        <x:f>IF(10&gt;Resumen!$B$4,"",INDEX(Gestiones!$G$6:$G$6,MATCH(10,Gestiones!$AC$6:$AC$6,0)))</x:f>
      </x:c>
      <x:c r="L40" s="72"/>
      <x:c r="M40" s="72"/>
      <x:c r="N40" s="72"/>
      <x:c r="O40" s="72"/>
      <x:c r="P40" s="74" t="str">
        <x:f>IF(10&gt;Resumen!$B$4,"",INDEX(Gestiones!$U$6:$U$6,MATCH(10,Gestiones!$AC$6:$AC$6,0)))</x:f>
      </x:c>
      <x:c r="Q40" s="74"/>
      <x:c r="R40" s="74"/>
      <x:c r="S40" s="3"/>
      <x:c r="T40" s="3"/>
      <x:c r="U40" s="3"/>
      <x:c r="V40" s="3"/>
      <x:c r="W40" s="3"/>
      <x:c r="X40" s="3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 ht="1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 ht="1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 ht="12" customHeight="1">
      <x:c r="A43" s="20" t="str">
        <x:v>COSTO DEVOLUCIONES (L)</x:v>
      </x:c>
      <x:c r="B43" s="20"/>
      <x:c r="C43" s="20"/>
      <x:c r="D43" s="20"/>
      <x:c r="E43" s="20"/>
      <x:c r="F43" s="20"/>
      <x:c r="G43" s="20" t="str">
        <x:v>RESOLUCIÓN</x:v>
      </x:c>
      <x:c r="H43" s="20"/>
      <x:c r="I43" s="20"/>
      <x:c r="J43" s="20"/>
      <x:c r="K43" s="20"/>
      <x:c r="L43" s="20"/>
      <x:c r="M43" s="20" t="str">
        <x:v>GESTIONES EN PROCESO</x:v>
      </x:c>
      <x:c r="N43" s="20"/>
      <x:c r="O43" s="20"/>
      <x:c r="P43" s="20"/>
      <x:c r="Q43" s="20"/>
      <x:c r="R43" s="20"/>
      <x:c r="S43" s="20" t="str">
        <x:v>LÍNEAS DE PRODUCTO</x:v>
      </x:c>
      <x:c r="T43" s="20"/>
      <x:c r="U43" s="20"/>
      <x:c r="V43" s="20"/>
      <x:c r="W43" s="20"/>
      <x:c r="X43" s="20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 ht="12" customHeight="1">
      <x:c r="A44" s="24" t="n">
        <x:f>Resumen!B8</x:f>
        <x:v>0</x:v>
      </x:c>
      <x:c r="B44" s="24"/>
      <x:c r="C44" s="24"/>
      <x:c r="D44" s="24"/>
      <x:c r="E44" s="24"/>
      <x:c r="F44" s="24"/>
      <x:c r="G44" s="25" t="n">
        <x:f>Resumen!B9</x:f>
        <x:v>0</x:v>
      </x:c>
      <x:c r="H44" s="25"/>
      <x:c r="I44" s="25"/>
      <x:c r="J44" s="25"/>
      <x:c r="K44" s="25"/>
      <x:c r="L44" s="25"/>
      <x:c r="M44" s="26" t="n">
        <x:f>Resumen!B10</x:f>
        <x:v>0</x:v>
      </x:c>
      <x:c r="N44" s="26"/>
      <x:c r="O44" s="26"/>
      <x:c r="P44" s="26"/>
      <x:c r="Q44" s="26"/>
      <x:c r="R44" s="26"/>
      <x:c r="S44" s="26" t="n">
        <x:f>Resumen!B11</x:f>
        <x:v>0</x:v>
      </x:c>
      <x:c r="T44" s="26"/>
      <x:c r="U44" s="26"/>
      <x:c r="V44" s="26"/>
      <x:c r="W44" s="26"/>
      <x:c r="X44" s="26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 ht="12" customHeight="1">
      <x:c r="A45" s="24"/>
      <x:c r="B45" s="24"/>
      <x:c r="C45" s="24"/>
      <x:c r="D45" s="24"/>
      <x:c r="E45" s="24"/>
      <x:c r="F45" s="24"/>
      <x:c r="G45" s="25"/>
      <x:c r="H45" s="25"/>
      <x:c r="I45" s="25"/>
      <x:c r="J45" s="25"/>
      <x:c r="K45" s="25"/>
      <x:c r="L45" s="25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 ht="12" customHeight="1">
      <x:c r="A46" s="24"/>
      <x:c r="B46" s="24"/>
      <x:c r="C46" s="24"/>
      <x:c r="D46" s="24"/>
      <x:c r="E46" s="24"/>
      <x:c r="F46" s="24"/>
      <x:c r="G46" s="25"/>
      <x:c r="H46" s="25"/>
      <x:c r="I46" s="25"/>
      <x:c r="J46" s="25"/>
      <x:c r="K46" s="25"/>
      <x:c r="L46" s="25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 ht="1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 ht="12" customHeight="1">
      <x:c r="A48" s="28" t="str">
        <x:v>FILTROS DEL REPORTE</x:v>
      </x:c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 ht="12" customHeight="1">
      <x:c r="A49" s="9" t="str">
        <x:v>Selecciona sede, gestor y estado; ajusta las fechas en las celdas claras.</x:v>
      </x:c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 ht="1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 ht="12" customHeight="1">
      <x:c r="A51" s="29" t="str">
        <x:v>Sede</x:v>
      </x:c>
      <x:c r="B51" s="29"/>
      <x:c r="C51" s="29"/>
      <x:c r="D51" s="29"/>
      <x:c r="E51" s="3"/>
      <x:c r="F51" s="29" t="str">
        <x:v>Gestor N1</x:v>
      </x:c>
      <x:c r="G51" s="29"/>
      <x:c r="H51" s="29"/>
      <x:c r="I51" s="29"/>
      <x:c r="J51" s="29"/>
      <x:c r="K51" s="3"/>
      <x:c r="L51" s="29" t="str">
        <x:v>Estado</x:v>
      </x:c>
      <x:c r="M51" s="29"/>
      <x:c r="N51" s="29"/>
      <x:c r="O51" s="29"/>
      <x:c r="P51" s="29"/>
      <x:c r="Q51" s="3"/>
      <x:c r="R51" s="29" t="str">
        <x:v>Desde</x:v>
      </x:c>
      <x:c r="S51" s="29"/>
      <x:c r="T51" s="29"/>
      <x:c r="U51" s="3"/>
      <x:c r="V51" s="29" t="str">
        <x:v>Hasta</x:v>
      </x:c>
      <x:c r="W51" s="29"/>
      <x:c r="X51" s="29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 ht="12" customHeight="1">
      <x:c r="A52" s="33" t="str">
        <x:v>Todas</x:v>
      </x:c>
      <x:c r="B52" s="34"/>
      <x:c r="C52" s="34"/>
      <x:c r="D52" s="35"/>
      <x:c r="E52" s="3"/>
      <x:c r="F52" s="33" t="str">
        <x:v>Todos</x:v>
      </x:c>
      <x:c r="G52" s="34"/>
      <x:c r="H52" s="34"/>
      <x:c r="I52" s="34"/>
      <x:c r="J52" s="35"/>
      <x:c r="K52" s="3"/>
      <x:c r="L52" s="33" t="str">
        <x:v>Todos</x:v>
      </x:c>
      <x:c r="M52" s="34"/>
      <x:c r="N52" s="34"/>
      <x:c r="O52" s="34"/>
      <x:c r="P52" s="35"/>
      <x:c r="Q52" s="3"/>
      <x:c r="R52" s="39" t="n">
        <x:v>46000</x:v>
      </x:c>
      <x:c r="S52" s="40"/>
      <x:c r="T52" s="41"/>
      <x:c r="U52" s="3"/>
      <x:c r="V52" s="39" t="n">
        <x:v>46030</x:v>
      </x:c>
      <x:c r="W52" s="40"/>
      <x:c r="X52" s="41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 ht="12" customHeight="1">
      <x:c r="A53" s="36"/>
      <x:c r="B53" s="37"/>
      <x:c r="C53" s="37"/>
      <x:c r="D53" s="38"/>
      <x:c r="E53" s="3"/>
      <x:c r="F53" s="36"/>
      <x:c r="G53" s="37"/>
      <x:c r="H53" s="37"/>
      <x:c r="I53" s="37"/>
      <x:c r="J53" s="38"/>
      <x:c r="K53" s="3"/>
      <x:c r="L53" s="36"/>
      <x:c r="M53" s="37"/>
      <x:c r="N53" s="37"/>
      <x:c r="O53" s="37"/>
      <x:c r="P53" s="38"/>
      <x:c r="Q53" s="3"/>
      <x:c r="R53" s="42"/>
      <x:c r="S53" s="43"/>
      <x:c r="T53" s="44"/>
      <x:c r="U53" s="3"/>
      <x:c r="V53" s="42"/>
      <x:c r="W53" s="43"/>
      <x:c r="X53" s="44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 ht="1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 ht="12" customHeight="1">
      <x:c r="A55" s="46" t="str">
        <x:v>Los filtros de Excel acotan la selección exportada desde la web.</x:v>
      </x:c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 ht="12" customHeight="1">
      <x:c r="A56" s="46" t="str">
        <x:v>Motivos y gestores: siete categorías principales del reporte y otras.</x:v>
      </x:c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 ht="12" customHeight="1">
      <x:c r="A57" s="46" t="str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 ht="1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</x:sheetData>
  <x:mergeCells>
    <x:mergeCell ref="A1:X2"/>
    <x:mergeCell ref="A3:X3"/>
    <x:mergeCell ref="A4:X4"/>
    <x:mergeCell ref="A6:F6"/>
    <x:mergeCell ref="A7:F9"/>
    <x:mergeCell ref="G6:L6"/>
    <x:mergeCell ref="G7:L9"/>
    <x:mergeCell ref="M6:R6"/>
    <x:mergeCell ref="M7:R9"/>
    <x:mergeCell ref="S6:X6"/>
    <x:mergeCell ref="S7:X9"/>
    <x:mergeCell ref="A43:F43"/>
    <x:mergeCell ref="A44:F46"/>
    <x:mergeCell ref="G43:L43"/>
    <x:mergeCell ref="G44:L46"/>
    <x:mergeCell ref="M43:R43"/>
    <x:mergeCell ref="M44:R46"/>
    <x:mergeCell ref="S43:X43"/>
    <x:mergeCell ref="S44:X46"/>
    <x:mergeCell ref="A48:X48"/>
    <x:mergeCell ref="A49:X49"/>
    <x:mergeCell ref="A51:D51"/>
    <x:mergeCell ref="A52:D53"/>
    <x:mergeCell ref="F51:J51"/>
    <x:mergeCell ref="F52:J53"/>
    <x:mergeCell ref="L51:P51"/>
    <x:mergeCell ref="L52:P53"/>
    <x:mergeCell ref="R51:T51"/>
    <x:mergeCell ref="R52:T53"/>
    <x:mergeCell ref="V51:X51"/>
    <x:mergeCell ref="V52:X53"/>
    <x:mergeCell ref="A55:X55"/>
    <x:mergeCell ref="A56:X56"/>
    <x:mergeCell ref="A57:X57"/>
    <x:mergeCell ref="A28:R28"/>
    <x:mergeCell ref="A30:C30"/>
    <x:mergeCell ref="A31:C31"/>
    <x:mergeCell ref="A32:C32"/>
    <x:mergeCell ref="A33:C33"/>
    <x:mergeCell ref="A34:C34"/>
    <x:mergeCell ref="A35:C35"/>
    <x:mergeCell ref="A36:C36"/>
    <x:mergeCell ref="A37:C37"/>
    <x:mergeCell ref="A38:C38"/>
    <x:mergeCell ref="A39:C39"/>
    <x:mergeCell ref="A40:C40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F30:J30"/>
    <x:mergeCell ref="F31:J31"/>
    <x:mergeCell ref="F32:J32"/>
    <x:mergeCell ref="F33:J33"/>
    <x:mergeCell ref="F34:J34"/>
    <x:mergeCell ref="F35:J35"/>
    <x:mergeCell ref="F36:J36"/>
    <x:mergeCell ref="F37:J37"/>
    <x:mergeCell ref="F38:J38"/>
    <x:mergeCell ref="F39:J39"/>
    <x:mergeCell ref="F40:J40"/>
    <x:mergeCell ref="K30:O30"/>
    <x:mergeCell ref="K31:O31"/>
    <x:mergeCell ref="K32:O32"/>
    <x:mergeCell ref="K33:O33"/>
    <x:mergeCell ref="K34:O34"/>
    <x:mergeCell ref="K35:O35"/>
    <x:mergeCell ref="K36:O36"/>
    <x:mergeCell ref="K37:O37"/>
    <x:mergeCell ref="K38:O38"/>
    <x:mergeCell ref="K39:O39"/>
    <x:mergeCell ref="K40:O40"/>
    <x:mergeCell ref="P30:R30"/>
    <x:mergeCell ref="P31:R31"/>
    <x:mergeCell ref="P32:R32"/>
    <x:mergeCell ref="P33:R33"/>
    <x:mergeCell ref="P34:R34"/>
    <x:mergeCell ref="P35:R35"/>
    <x:mergeCell ref="P36:R36"/>
    <x:mergeCell ref="P37:R37"/>
    <x:mergeCell ref="P38:R38"/>
    <x:mergeCell ref="P39:R39"/>
    <x:mergeCell ref="P40:R40"/>
  </x:mergeCells>
  <x:dataValidations count="3">
    <x:dataValidation type="list" sqref="A52">
      <x:formula1>INDIRECT("Resumen!$AA$2:$AA$2")</x:formula1>
    </x:dataValidation>
    <x:dataValidation type="list" sqref="F52">
      <x:formula1>INDIRECT("Resumen!$AB$2:$AB$2")</x:formula1>
    </x:dataValidation>
    <x:dataValidation type="list" sqref="L52">
      <x:formula1>INDIRECT("Resumen!$AC$2:$AC$2")</x:formula1>
    </x:dataValidation>
  </x:dataValidations>
  <x:pageMargins left="0.7" right="0.7" top="0.75" bottom="0.75" header="0.3" footer="0.3"/>
  <x:drawing xmlns:r="http://schemas.openxmlformats.org/officeDocument/2006/relationships" r:id="Ra32d05739eb34aa5"/>
</x:worksheet>
</file>

<file path=xl/worksheets/sheet2.xml><?xml version="1.0" encoding="utf-8"?>
<x:worksheet xmlns:x="http://schemas.openxmlformats.org/spreadsheetml/2006/main">
  <x:sheetPr>
    <x:tabColor rgb="FF81936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  <x:col min="17" max="17" width="18" hidden="0" customWidth="1"/>
    <x:col min="18" max="18" width="18" hidden="0" customWidth="1"/>
    <x:col min="19" max="19" width="2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47" t="str">
        <x:v>Resumen de cálculo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 t="str">
        <x:v>Sedes</x:v>
      </x:c>
      <x:c r="AB1" s="47" t="str">
        <x:v>Gestores</x:v>
      </x:c>
      <x:c r="AC1" s="47" t="str">
        <x:v>Estados</x:v>
      </x:c>
      <x:c r="AD1" s="47"/>
      <x:c r="AE1" s="47"/>
      <x:c r="AF1" s="47"/>
      <x:c r="AG1" s="47"/>
      <x:c r="AH1" s="47"/>
    </x:row>
    <x:row r="2">
      <x:c r="A2" s="2" t="str">
        <x:v>Indicadores calculados desde las gestiones incluidas por los filtros del Dashboard.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Todas</x:v>
      </x:c>
      <x:c r="AB2" s="2" t="str">
        <x:v>Todos</x:v>
      </x:c>
      <x:c r="AC2" s="2" t="str">
        <x:v>Todos</x:v>
      </x:c>
      <x:c r="AD2" s="2"/>
      <x:c r="AE2" s="2"/>
      <x:c r="AF2" s="2"/>
      <x:c r="AG2" s="2"/>
      <x:c r="AH2" s="2"/>
    </x:row>
    <x:row r="3">
      <x:c r="A3" s="49" t="str">
        <x:v>Indicador</x:v>
      </x:c>
      <x:c r="B3" s="49" t="str">
        <x:v>Valor</x:v>
      </x:c>
      <x:c r="C3" s="49"/>
      <x:c r="D3" s="49" t="str">
        <x:v>Etapa</x:v>
      </x:c>
      <x:c r="E3" s="49" t="str">
        <x:v>Horas promedio</x:v>
      </x:c>
      <x:c r="F3" s="49" t="str">
        <x:v>Con fechas</x:v>
      </x:c>
      <x:c r="G3" s="49"/>
      <x:c r="H3" s="49" t="str">
        <x:v>Período</x:v>
      </x:c>
      <x:c r="I3" s="49" t="str">
        <x:v>Total</x:v>
      </x:c>
      <x:c r="J3" s="49" t="str">
        <x:v>Finalizadas</x:v>
      </x:c>
      <x:c r="K3" s="49" t="str">
        <x:v>En proceso</x:v>
      </x:c>
      <x:c r="L3" s="49" t="str">
        <x:v>Anuladas</x:v>
      </x:c>
      <x:c r="M3" s="49" t="str">
        <x:v>Desde</x:v>
      </x:c>
      <x:c r="N3" s="49" t="str">
        <x:v>Hasta</x:v>
      </x:c>
      <x:c r="O3" s="49"/>
      <x:c r="P3" s="49" t="str">
        <x:v>Motivo</x:v>
      </x:c>
      <x:c r="Q3" s="49" t="str">
        <x:v>Gestiones</x:v>
      </x:c>
      <x:c r="R3" s="49"/>
      <x:c r="S3" s="49" t="str">
        <x:v>Gestor</x:v>
      </x:c>
      <x:c r="T3" s="49" t="str">
        <x:v>Gestiones</x:v>
      </x:c>
      <x:c r="U3" s="49" t="str">
        <x:v>Activo</x:v>
      </x:c>
      <x:c r="V3" s="49"/>
      <x:c r="W3" s="49"/>
      <x:c r="X3" s="49"/>
      <x:c r="Y3" s="49"/>
      <x:c r="Z3" s="49"/>
      <x:c r="AA3" s="49"/>
      <x:c r="AB3" s="49"/>
      <x:c r="AC3" s="49"/>
      <x:c r="AD3" s="49" t="str">
        <x:v>Motivos del reporte</x:v>
      </x:c>
      <x:c r="AE3" s="49" t="str">
        <x:v>Gestiones</x:v>
      </x:c>
      <x:c r="AF3" s="49"/>
      <x:c r="AG3" s="49" t="str">
        <x:v>Gestores del reporte</x:v>
      </x:c>
      <x:c r="AH3" s="49" t="str">
        <x:v>Gestiones</x:v>
      </x:c>
    </x:row>
    <x:row r="4" ht="22" customHeight="1">
      <x:c r="A4" s="2" t="str">
        <x:v>Total gestiones</x:v>
      </x:c>
      <x:c r="B4" s="2" t="n">
        <x:f>SUM(Gestiones!$X$6:$X$6)</x:f>
        <x:v>0</x:v>
      </x:c>
      <x:c r="C4" s="2"/>
      <x:c r="D4" s="2" t="str">
        <x:v>N1 a N2</x:v>
      </x:c>
      <x:c r="E4" s="50" t="str">
        <x:f>IF(F4=0,"",SUMIFS(Gestiones!$R$6:$R$6,Gestiones!$X$6:$X$6,1)/F4)</x:f>
      </x:c>
      <x:c r="F4" s="2" t="n">
        <x:f>COUNTIFS(Gestiones!$X$6:$X$6,1,Gestiones!$N$6:$N$6,"&gt;0")</x:f>
        <x:v>0</x:v>
      </x:c>
      <x:c r="G4" s="2"/>
      <x:c r="H4" s="2" t="str"/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60" t="n">
        <x:v>0</x:v>
      </x:c>
      <x:c r="N4" s="60" t="n">
        <x:v>0</x:v>
      </x:c>
      <x:c r="O4" s="2"/>
      <x:c r="P4" s="2" t="str">
        <x:v>Sin motivo</x:v>
      </x:c>
      <x:c r="Q4" s="2" t="n">
        <x:v>0</x:v>
      </x:c>
      <x:c r="R4" s="2"/>
      <x:c r="S4" s="2" t="str">
        <x:v>Sin gestor</x:v>
      </x:c>
      <x:c r="T4" s="2" t="n">
        <x:v>0</x:v>
      </x:c>
      <x:c r="U4" s="2" t="n">
        <x:v>0</x:v>
      </x:c>
      <x:c r="V4" s="2"/>
      <x:c r="W4" s="2"/>
      <x:c r="X4" s="2"/>
      <x:c r="Y4" s="2"/>
      <x:c r="Z4" s="2"/>
      <x:c r="AA4" s="2"/>
      <x:c r="AB4" s="2"/>
      <x:c r="AC4" s="2"/>
      <x:c r="AD4" s="2" t="str"/>
      <x:c r="AE4" s="2" t="n">
        <x:v>0</x:v>
      </x:c>
      <x:c r="AF4" s="2"/>
      <x:c r="AG4" s="2" t="str"/>
      <x:c r="AH4" s="2" t="n">
        <x:v>0</x:v>
      </x:c>
    </x:row>
    <x:row r="5" ht="22" customHeight="1">
      <x:c r="A5" s="2" t="str">
        <x:v>Promedio N1–N4 (horas)</x:v>
      </x:c>
      <x:c r="B5" s="50" t="str">
        <x:f>IF(SUMIFS(Gestiones!$AB$6:$AB$6,Gestiones!$X$6:$X$6,1)=0,"Sin completar",SUMIFS(Gestiones!$U$6:$U$6,Gestiones!$X$6:$X$6,1)/SUMIFS(Gestiones!$AB$6:$AB$6,Gestiones!$X$6:$X$6,1))</x:f>
        <x:v>Sin completar</x:v>
      </x:c>
      <x:c r="C5" s="2"/>
      <x:c r="D5" s="2" t="str">
        <x:v>N2 a N3</x:v>
      </x:c>
      <x:c r="E5" s="50" t="str">
        <x:f>IF(F5=0,"",SUMIFS(Gestiones!$S$6:$S$6,Gestiones!$X$6:$X$6,1)/F5)</x:f>
      </x:c>
      <x:c r="F5" s="2" t="n">
        <x:f>COUNTIFS(Gestiones!$X$6:$X$6,1,Gestiones!$N$6:$N$6,"&gt;0",Gestiones!$O$6:$O$6,"&gt;0")</x:f>
        <x:v>0</x:v>
      </x:c>
      <x:c r="G5" s="2"/>
      <x:c r="H5" s="2" t="str"/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60" t="n">
        <x:v>0</x:v>
      </x:c>
      <x:c r="N5" s="60" t="n">
        <x:v>0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 t="str"/>
      <x:c r="AE5" s="2" t="n">
        <x:v>0</x:v>
      </x:c>
      <x:c r="AF5" s="2"/>
      <x:c r="AG5" s="2" t="str"/>
      <x:c r="AH5" s="2" t="n">
        <x:v>0</x:v>
      </x:c>
    </x:row>
    <x:row r="6" ht="22" customHeight="1">
      <x:c r="A6" s="2" t="str">
        <x:v>Finalizadas</x:v>
      </x:c>
      <x:c r="B6" s="2" t="n">
        <x:f>COUNTIFS(Gestiones!$H$6:$H$6,"Finalizada",Gestiones!$X$6:$X$6,1)</x:f>
        <x:v>0</x:v>
      </x:c>
      <x:c r="C6" s="2"/>
      <x:c r="D6" s="2" t="str">
        <x:v>N3 a N4</x:v>
      </x:c>
      <x:c r="E6" s="50" t="str">
        <x:f>IF(F6=0,"",SUMIFS(Gestiones!$T$6:$T$6,Gestiones!$X$6:$X$6,1)/F6)</x:f>
      </x:c>
      <x:c r="F6" s="2" t="n">
        <x:f>COUNTIFS(Gestiones!$X$6:$X$6,1,Gestiones!$O$6:$O$6,"&gt;0",Gestiones!$P$6:$P$6,"&gt;0")</x:f>
        <x:v>0</x:v>
      </x:c>
      <x:c r="G6" s="2"/>
      <x:c r="H6" s="2" t="str"/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60" t="n">
        <x:v>0</x:v>
      </x:c>
      <x:c r="N6" s="60" t="n">
        <x:v>0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 t="str"/>
      <x:c r="AE6" s="2" t="n">
        <x:v>0</x:v>
      </x:c>
      <x:c r="AF6" s="2"/>
      <x:c r="AG6" s="2" t="str"/>
      <x:c r="AH6" s="2" t="n">
        <x:v>0</x:v>
      </x:c>
    </x:row>
    <x:row r="7" ht="22" customHeight="1">
      <x:c r="A7" s="2" t="str">
        <x:v>Gestores con registros</x:v>
      </x:c>
      <x:c r="B7" s="2" t="n">
        <x:f>SUM(U4:U4)</x:f>
        <x:v>0</x:v>
      </x:c>
      <x:c r="C7" s="2"/>
      <x:c r="D7" s="2"/>
      <x:c r="E7" s="2"/>
      <x:c r="F7" s="2"/>
      <x:c r="G7" s="2"/>
      <x:c r="H7" s="2" t="str"/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60" t="n">
        <x:v>0</x:v>
      </x:c>
      <x:c r="N7" s="60" t="n">
        <x:v>0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 t="str"/>
      <x:c r="AE7" s="2" t="n">
        <x:v>0</x:v>
      </x:c>
      <x:c r="AF7" s="2"/>
      <x:c r="AG7" s="2" t="str"/>
      <x:c r="AH7" s="2" t="n">
        <x:v>0</x:v>
      </x:c>
    </x:row>
    <x:row r="8" ht="22" customHeight="1">
      <x:c r="A8" s="2" t="str">
        <x:v>Costo total (L)</x:v>
      </x:c>
      <x:c r="B8" s="51" t="n">
        <x:f>SUMIFS(Gestiones!$V$6:$V$6,Gestiones!$X$6:$X$6,1)</x:f>
        <x:v>0</x:v>
      </x:c>
      <x:c r="C8" s="2"/>
      <x:c r="D8" s="2"/>
      <x:c r="E8" s="2"/>
      <x:c r="F8" s="2"/>
      <x:c r="G8" s="2"/>
      <x:c r="H8" s="2" t="str"/>
      <x:c r="I8" s="2" t="n">
        <x:v>0</x:v>
      </x:c>
      <x:c r="J8" s="2" t="n">
        <x:v>0</x:v>
      </x:c>
      <x:c r="K8" s="2" t="n">
        <x:v>0</x:v>
      </x:c>
      <x:c r="L8" s="2" t="n">
        <x:v>0</x:v>
      </x:c>
      <x:c r="M8" s="60" t="n">
        <x:v>0</x:v>
      </x:c>
      <x:c r="N8" s="60" t="n">
        <x:v>0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 t="str"/>
      <x:c r="AE8" s="2" t="n">
        <x:v>0</x:v>
      </x:c>
      <x:c r="AF8" s="2"/>
      <x:c r="AG8" s="2" t="str"/>
      <x:c r="AH8" s="2" t="n">
        <x:v>0</x:v>
      </x:c>
    </x:row>
    <x:row r="9" ht="22" customHeight="1">
      <x:c r="A9" s="2" t="str">
        <x:v>Resolución</x:v>
      </x:c>
      <x:c r="B9" s="52" t="n">
        <x:f>IF(B4=0,0,B6/B4)</x:f>
        <x:v>0</x:v>
      </x:c>
      <x:c r="C9" s="2"/>
      <x:c r="D9" s="2"/>
      <x:c r="E9" s="2"/>
      <x:c r="F9" s="2"/>
      <x:c r="G9" s="2"/>
      <x:c r="H9" s="2" t="str"/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60" t="n">
        <x:v>0</x:v>
      </x:c>
      <x:c r="N9" s="60" t="n">
        <x:v>0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 t="str"/>
      <x:c r="AE9" s="2" t="n">
        <x:v>0</x:v>
      </x:c>
      <x:c r="AF9" s="2"/>
      <x:c r="AG9" s="2" t="str"/>
      <x:c r="AH9" s="2" t="n">
        <x:v>0</x:v>
      </x:c>
    </x:row>
    <x:row r="10" ht="22" customHeight="1">
      <x:c r="A10" s="2" t="str">
        <x:v>En proceso</x:v>
      </x:c>
      <x:c r="B10" s="2" t="n">
        <x:f>COUNTIFS(Gestiones!$X$6:$X$6,1,Gestiones!$H$6:$H$6,"&lt;&gt;Finalizada",Gestiones!$H$6:$H$6,"&lt;&gt;Anulada")</x:f>
        <x:v>0</x:v>
      </x:c>
      <x:c r="C10" s="2"/>
      <x:c r="D10" s="2"/>
      <x:c r="E10" s="2"/>
      <x:c r="F10" s="2"/>
      <x:c r="G10" s="2"/>
      <x:c r="H10" s="2" t="str"/>
      <x:c r="I10" s="2" t="n">
        <x:v>0</x:v>
      </x:c>
      <x:c r="J10" s="2" t="n">
        <x:v>0</x:v>
      </x:c>
      <x:c r="K10" s="2" t="n">
        <x:v>0</x:v>
      </x:c>
      <x:c r="L10" s="2" t="n">
        <x:v>0</x:v>
      </x:c>
      <x:c r="M10" s="60" t="n">
        <x:v>0</x:v>
      </x:c>
      <x:c r="N10" s="60" t="n">
        <x:v>0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 t="str"/>
      <x:c r="AE10" s="2" t="n">
        <x:v>0</x:v>
      </x:c>
      <x:c r="AF10" s="2"/>
      <x:c r="AG10" s="2" t="str"/>
      <x:c r="AH10" s="2" t="n">
        <x:v>0</x:v>
      </x:c>
    </x:row>
    <x:row r="11" ht="22" customHeight="1">
      <x:c r="A11" s="2" t="str">
        <x:v>Líneas de producto</x:v>
      </x:c>
      <x:c r="B11" s="2" t="n">
        <x:f>SUMIFS(Gestiones!$W$6:$W$6,Gestiones!$X$6:$X$6,1)</x:f>
        <x:v>0</x:v>
      </x:c>
      <x:c r="C11" s="2"/>
      <x:c r="D11" s="2"/>
      <x:c r="E11" s="2"/>
      <x:c r="F11" s="2"/>
      <x:c r="G11" s="2"/>
      <x:c r="H11" s="2" t="str"/>
      <x:c r="I11" s="2" t="n">
        <x:v>0</x:v>
      </x:c>
      <x:c r="J11" s="2" t="n">
        <x:v>0</x:v>
      </x:c>
      <x:c r="K11" s="2" t="n">
        <x:v>0</x:v>
      </x:c>
      <x:c r="L11" s="2" t="n">
        <x:v>0</x:v>
      </x:c>
      <x:c r="M11" s="60" t="n">
        <x:v>0</x:v>
      </x:c>
      <x:c r="N11" s="60" t="n">
        <x:v>0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 t="str"/>
      <x:c r="AE11" s="2" t="n">
        <x:v>0</x:v>
      </x:c>
      <x:c r="AF11" s="2"/>
      <x:c r="AG11" s="2" t="str"/>
      <x:c r="AH11" s="2" t="n">
        <x:v>0</x:v>
      </x:c>
    </x:row>
    <x:row r="12" ht="22" customHeight="1">
      <x:c r="A12" s="2"/>
      <x:c r="B12" s="2"/>
      <x:c r="C12" s="2"/>
      <x:c r="D12" s="2"/>
      <x:c r="E12" s="2"/>
      <x:c r="F12" s="2"/>
      <x:c r="G12" s="2"/>
      <x:c r="H12" s="2" t="str"/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60" t="n">
        <x:v>0</x:v>
      </x:c>
      <x:c r="N12" s="60" t="n">
        <x:v>0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 t="str"/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60" t="n">
        <x:v>0</x:v>
      </x:c>
      <x:c r="N13" s="60" t="n">
        <x:v>0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 t="str"/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60" t="n">
        <x:v>0</x:v>
      </x:c>
      <x:c r="N14" s="60" t="n">
        <x:v>0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 t="str"/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60" t="n">
        <x:v>0</x:v>
      </x:c>
      <x:c r="N15" s="60" t="n">
        <x:v>0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 t="str"/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60" t="n">
        <x:v>0</x:v>
      </x:c>
      <x:c r="N16" s="60" t="n">
        <x:v>0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 t="str"/>
      <x:c r="I17" s="2" t="n">
        <x:v>0</x:v>
      </x:c>
      <x:c r="J17" s="2" t="n">
        <x:v>0</x:v>
      </x:c>
      <x:c r="K17" s="2" t="n">
        <x:v>0</x:v>
      </x:c>
      <x:c r="L17" s="2" t="n">
        <x:v>0</x:v>
      </x:c>
      <x:c r="M17" s="60" t="n">
        <x:v>0</x:v>
      </x:c>
      <x:c r="N17" s="60" t="n">
        <x:v>0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 t="str"/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60" t="n">
        <x:v>0</x:v>
      </x:c>
      <x:c r="N18" s="60" t="n">
        <x:v>0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 t="str"/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60" t="n">
        <x:v>0</x:v>
      </x:c>
      <x:c r="N19" s="60" t="n">
        <x:v>0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 t="str"/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60" t="n">
        <x:v>0</x:v>
      </x:c>
      <x:c r="N20" s="60" t="n">
        <x:v>0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 t="str"/>
      <x:c r="I21" s="2" t="n">
        <x:v>0</x:v>
      </x:c>
      <x:c r="J21" s="2" t="n">
        <x:v>0</x:v>
      </x:c>
      <x:c r="K21" s="2" t="n">
        <x:v>0</x:v>
      </x:c>
      <x:c r="L21" s="2" t="n">
        <x:v>0</x:v>
      </x:c>
      <x:c r="M21" s="60" t="n">
        <x:v>0</x:v>
      </x:c>
      <x:c r="N21" s="60" t="n">
        <x:v>0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 t="str"/>
      <x:c r="I22" s="2" t="n">
        <x:v>0</x:v>
      </x:c>
      <x:c r="J22" s="2" t="n">
        <x:v>0</x:v>
      </x:c>
      <x:c r="K22" s="2" t="n">
        <x:v>0</x:v>
      </x:c>
      <x:c r="L22" s="2" t="n">
        <x:v>0</x:v>
      </x:c>
      <x:c r="M22" s="60" t="n">
        <x:v>0</x:v>
      </x:c>
      <x:c r="N22" s="60" t="n">
        <x:v>0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 t="str"/>
      <x:c r="I23" s="2" t="n">
        <x:v>0</x:v>
      </x:c>
      <x:c r="J23" s="2" t="n">
        <x:v>0</x:v>
      </x:c>
      <x:c r="K23" s="2" t="n">
        <x:v>0</x:v>
      </x:c>
      <x:c r="L23" s="2" t="n">
        <x:v>0</x:v>
      </x:c>
      <x:c r="M23" s="60" t="n">
        <x:v>0</x:v>
      </x:c>
      <x:c r="N23" s="60" t="n">
        <x:v>0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 t="str"/>
      <x:c r="I24" s="2" t="n">
        <x:v>0</x:v>
      </x:c>
      <x:c r="J24" s="2" t="n">
        <x:v>0</x:v>
      </x:c>
      <x:c r="K24" s="2" t="n">
        <x:v>0</x:v>
      </x:c>
      <x:c r="L24" s="2" t="n">
        <x:v>0</x:v>
      </x:c>
      <x:c r="M24" s="60" t="n">
        <x:v>0</x:v>
      </x:c>
      <x:c r="N24" s="60" t="n">
        <x:v>0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 t="str"/>
      <x:c r="I25" s="2" t="n">
        <x:v>0</x:v>
      </x:c>
      <x:c r="J25" s="2" t="n">
        <x:v>0</x:v>
      </x:c>
      <x:c r="K25" s="2" t="n">
        <x:v>0</x:v>
      </x:c>
      <x:c r="L25" s="2" t="n">
        <x:v>0</x:v>
      </x:c>
      <x:c r="M25" s="60" t="n">
        <x:v>0</x:v>
      </x:c>
      <x:c r="N25" s="60" t="n">
        <x:v>0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 t="str"/>
      <x:c r="I26" s="2" t="n">
        <x:v>0</x:v>
      </x:c>
      <x:c r="J26" s="2" t="n">
        <x:v>0</x:v>
      </x:c>
      <x:c r="K26" s="2" t="n">
        <x:v>0</x:v>
      </x:c>
      <x:c r="L26" s="2" t="n">
        <x:v>0</x:v>
      </x:c>
      <x:c r="M26" s="60" t="n">
        <x:v>0</x:v>
      </x:c>
      <x:c r="N26" s="60" t="n">
        <x:v>0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 t="str"/>
      <x:c r="I27" s="2" t="n">
        <x:v>0</x:v>
      </x:c>
      <x:c r="J27" s="2" t="n">
        <x:v>0</x:v>
      </x:c>
      <x:c r="K27" s="2" t="n">
        <x:v>0</x:v>
      </x:c>
      <x:c r="L27" s="2" t="n">
        <x:v>0</x:v>
      </x:c>
      <x:c r="M27" s="60" t="n">
        <x:v>0</x:v>
      </x:c>
      <x:c r="N27" s="60" t="n">
        <x:v>0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 t="str"/>
      <x:c r="I28" s="2" t="n">
        <x:v>0</x:v>
      </x:c>
      <x:c r="J28" s="2" t="n">
        <x:v>0</x:v>
      </x:c>
      <x:c r="K28" s="2" t="n">
        <x:v>0</x:v>
      </x:c>
      <x:c r="L28" s="2" t="n">
        <x:v>0</x:v>
      </x:c>
      <x:c r="M28" s="60" t="n">
        <x:v>0</x:v>
      </x:c>
      <x:c r="N28" s="60" t="n">
        <x:v>0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 t="str"/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60" t="n">
        <x:v>0</x:v>
      </x:c>
      <x:c r="N29" s="60" t="n">
        <x:v>0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 t="str"/>
      <x:c r="I30" s="2" t="n">
        <x:v>0</x:v>
      </x:c>
      <x:c r="J30" s="2" t="n">
        <x:v>0</x:v>
      </x:c>
      <x:c r="K30" s="2" t="n">
        <x:v>0</x:v>
      </x:c>
      <x:c r="L30" s="2" t="n">
        <x:v>0</x:v>
      </x:c>
      <x:c r="M30" s="60" t="n">
        <x:v>0</x:v>
      </x:c>
      <x:c r="N30" s="60" t="n">
        <x:v>0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 t="str"/>
      <x:c r="I31" s="2" t="n">
        <x:v>0</x:v>
      </x:c>
      <x:c r="J31" s="2" t="n">
        <x:v>0</x:v>
      </x:c>
      <x:c r="K31" s="2" t="n">
        <x:v>0</x:v>
      </x:c>
      <x:c r="L31" s="2" t="n">
        <x:v>0</x:v>
      </x:c>
      <x:c r="M31" s="60" t="n">
        <x:v>0</x:v>
      </x:c>
      <x:c r="N31" s="60" t="n">
        <x:v>0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 t="str"/>
      <x:c r="I32" s="2" t="n">
        <x:v>0</x:v>
      </x:c>
      <x:c r="J32" s="2" t="n">
        <x:v>0</x:v>
      </x:c>
      <x:c r="K32" s="2" t="n">
        <x:v>0</x:v>
      </x:c>
      <x:c r="L32" s="2" t="n">
        <x:v>0</x:v>
      </x:c>
      <x:c r="M32" s="60" t="n">
        <x:v>0</x:v>
      </x:c>
      <x:c r="N32" s="60" t="n">
        <x:v>0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 t="str"/>
      <x:c r="I33" s="2" t="n">
        <x:v>0</x:v>
      </x:c>
      <x:c r="J33" s="2" t="n">
        <x:v>0</x:v>
      </x:c>
      <x:c r="K33" s="2" t="n">
        <x:v>0</x:v>
      </x:c>
      <x:c r="L33" s="2" t="n">
        <x:v>0</x:v>
      </x:c>
      <x:c r="M33" s="60" t="n">
        <x:v>0</x:v>
      </x:c>
      <x:c r="N33" s="60" t="n">
        <x:v>0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 t="str"/>
      <x:c r="I34" s="2" t="n">
        <x:v>0</x:v>
      </x:c>
      <x:c r="J34" s="2" t="n">
        <x:v>0</x:v>
      </x:c>
      <x:c r="K34" s="2" t="n">
        <x:v>0</x:v>
      </x:c>
      <x:c r="L34" s="2" t="n">
        <x:v>0</x:v>
      </x:c>
      <x:c r="M34" s="60" t="n">
        <x:v>0</x:v>
      </x:c>
      <x:c r="N34" s="60" t="n">
        <x:v>0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9" hidden="0" customWidth="1"/>
    <x:col min="4" max="4" width="30" hidden="0" customWidth="1"/>
    <x:col min="5" max="5" width="40" hidden="0" customWidth="1"/>
    <x:col min="6" max="6" width="19" hidden="0" customWidth="1"/>
    <x:col min="7" max="7" width="30" hidden="0" customWidth="1"/>
    <x:col min="8" max="8" width="30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35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>
      <x:c r="A1" s="53" t="str">
        <x:v>GESTIONES DE DEVOLUCIÓN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2"/>
      <x:c r="AE1" s="2"/>
      <x:c r="AF1" s="2"/>
      <x:c r="AG1" s="2"/>
      <x:c r="AH1" s="2"/>
    </x:row>
    <x:row r="2">
      <x:c r="A2" s="55" t="str">
        <x:v>Fuente: https://biahonduras.github.io/devoluciones/index.html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  <x:c r="AC2" s="55"/>
      <x:c r="AD2" s="2"/>
      <x:c r="AE2" s="2"/>
      <x:c r="AF2" s="2"/>
      <x:c r="AG2" s="2"/>
      <x:c r="AH2" s="2"/>
    </x:row>
    <x:row r="3">
      <x:c r="A3" s="57" t="str">
        <x:v>Una fila por gestión. Tiempos en horas, importes en lempiras.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  <x:c r="AA3" s="57"/>
      <x:c r="AB3" s="57"/>
      <x:c r="AC3" s="57"/>
      <x:c r="AD3" s="2"/>
      <x:c r="AE3" s="2"/>
      <x:c r="AF3" s="2"/>
      <x:c r="AG3" s="2"/>
      <x:c r="AH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ht="30" customHeight="1">
      <x:c r="A5" s="58" t="str">
        <x:v>Gestión</x:v>
      </x:c>
      <x:c r="B5" s="58" t="str">
        <x:v>Fecha registro</x:v>
      </x:c>
      <x:c r="C5" s="58" t="str">
        <x:v>Sede</x:v>
      </x:c>
      <x:c r="D5" s="58" t="str">
        <x:v>Gestor N1</x:v>
      </x:c>
      <x:c r="E5" s="58" t="str">
        <x:v>Cliente</x:v>
      </x:c>
      <x:c r="F5" s="58" t="str">
        <x:v>Factura</x:v>
      </x:c>
      <x:c r="G5" s="58" t="str">
        <x:v>Motivo</x:v>
      </x:c>
      <x:c r="H5" s="58" t="str">
        <x:v>Estado</x:v>
      </x:c>
      <x:c r="I5" s="58" t="str">
        <x:v>Bodega origen</x:v>
      </x:c>
      <x:c r="J5" s="58" t="str">
        <x:v>Bodega destino</x:v>
      </x:c>
      <x:c r="K5" s="58" t="str">
        <x:v>Liquidadora</x:v>
      </x:c>
      <x:c r="L5" s="58" t="str">
        <x:v>Gestor N2</x:v>
      </x:c>
      <x:c r="M5" s="58" t="str">
        <x:v>Gestor N4</x:v>
      </x:c>
      <x:c r="N5" s="58" t="str">
        <x:v>Entrega liquidadora</x:v>
      </x:c>
      <x:c r="O5" s="58" t="str">
        <x:v>Nota débito</x:v>
      </x:c>
      <x:c r="P5" s="58" t="str">
        <x:v>Ingreso GP</x:v>
      </x:c>
      <x:c r="Q5" s="58" t="str">
        <x:v>Finalizada</x:v>
      </x:c>
      <x:c r="R5" s="58" t="str">
        <x:v>N1–N2 (h)</x:v>
      </x:c>
      <x:c r="S5" s="58" t="str">
        <x:v>N2–N3 (h)</x:v>
      </x:c>
      <x:c r="T5" s="58" t="str">
        <x:v>N3–N4 (h)</x:v>
      </x:c>
      <x:c r="U5" s="58" t="str">
        <x:v>N1–N4 (h)</x:v>
      </x:c>
      <x:c r="V5" s="58" t="str">
        <x:v>Costo gestión (L)</x:v>
      </x:c>
      <x:c r="W5" s="58" t="str">
        <x:v>Líneas producto</x:v>
      </x:c>
      <x:c r="X5" s="58" t="str">
        <x:v>Incluida en Dashboard</x:v>
      </x:c>
      <x:c r="Y5" s="58" t="str">
        <x:v>Día registro</x:v>
      </x:c>
      <x:c r="Z5" s="58" t="str">
        <x:v>Comentario</x:v>
      </x:c>
      <x:c r="AA5" s="58" t="str">
        <x:v>ID Gestor N1</x:v>
      </x:c>
      <x:c r="AB5" s="58" t="str">
        <x:v>N1–N4 completo</x:v>
      </x:c>
      <x:c r="AC5" s="58" t="str">
        <x:v>Orden incluido</x:v>
      </x:c>
      <x:c r="AD5" s="2"/>
      <x:c r="AE5" s="2"/>
      <x:c r="AF5" s="2"/>
      <x:c r="AG5" s="2"/>
      <x:c r="AH5" s="2"/>
    </x:row>
    <x:row r="6" ht="23" customHeight="1">
      <x:c r="A6" s="63"/>
      <x:c r="B6" s="59"/>
      <x:c r="C6" s="2"/>
      <x:c r="D6" s="2"/>
      <x:c r="E6" s="2"/>
      <x:c r="F6" s="63"/>
      <x:c r="G6" s="2"/>
      <x:c r="H6" s="2"/>
      <x:c r="I6" s="2"/>
      <x:c r="J6" s="2"/>
      <x:c r="K6" s="2"/>
      <x:c r="L6" s="2"/>
      <x:c r="M6" s="2"/>
      <x:c r="N6" s="59"/>
      <x:c r="O6" s="59"/>
      <x:c r="P6" s="59"/>
      <x:c r="Q6" s="59"/>
      <x:c r="R6" s="50"/>
      <x:c r="S6" s="50"/>
      <x:c r="T6" s="50"/>
      <x:c r="U6" s="50"/>
      <x:c r="V6" s="51"/>
      <x:c r="W6" s="61"/>
      <x:c r="X6" s="61"/>
      <x:c r="Y6" s="62"/>
      <x:c r="Z6" s="2"/>
      <x:c r="AA6" s="63"/>
      <x:c r="AB6" s="2"/>
      <x:c r="AC6" s="2"/>
      <x:c r="AD6" s="2"/>
      <x:c r="AE6" s="2"/>
      <x:c r="AF6" s="2"/>
      <x:c r="AG6" s="2"/>
      <x:c r="AH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</x:sheetData>
  <x:mergeCells>
    <x:mergeCell ref="A1:AC1"/>
    <x:mergeCell ref="A2:AC2"/>
    <x:mergeCell ref="A3:AC3"/>
  </x:mergeCells>
  <x:pageMargins left="0.7" right="0.7" top="0.75" bottom="0.75" header="0.3" footer="0.3"/>
  <x:tableParts count="1">
    <x:tablePart xmlns:r="http://schemas.openxmlformats.org/officeDocument/2006/relationships" r:id="Rf4cd22380b8f4a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9" hidden="0" customWidth="1"/>
    <x:col min="4" max="4" width="30" hidden="0" customWidth="1"/>
    <x:col min="5" max="5" width="30" hidden="0" customWidth="1"/>
    <x:col min="6" max="6" width="30" hidden="0" customWidth="1"/>
    <x:col min="7" max="7" width="19" hidden="0" customWidth="1"/>
    <x:col min="8" max="8" width="22" hidden="0" customWidth="1"/>
    <x:col min="9" max="9" width="42" hidden="0" customWidth="1"/>
    <x:col min="10" max="10" width="20" hidden="0" customWidth="1"/>
    <x:col min="11" max="11" width="42" hidden="0" customWidth="1"/>
    <x:col min="12" max="12" width="19" hidden="0" customWidth="1"/>
    <x:col min="13" max="13" width="30" hidden="0" customWidth="1"/>
    <x:col min="14" max="14" width="19" hidden="0" customWidth="1"/>
    <x:col min="15" max="15" width="19" hidden="0" customWidth="1"/>
    <x:col min="16" max="16" width="30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s="53" t="str">
        <x:v>PRODUCTOS DEVUELTOS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2"/>
      <x:c r="AF1" s="2"/>
      <x:c r="AG1" s="2"/>
      <x:c r="AH1" s="2"/>
    </x:row>
    <x:row r="2">
      <x:c r="A2" s="55" t="str">
        <x:v>Fuente: https://biahonduras.github.io/devoluciones/index.html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  <x:c r="AC2" s="55"/>
      <x:c r="AD2" s="55"/>
      <x:c r="AE2" s="2"/>
      <x:c r="AF2" s="2"/>
      <x:c r="AG2" s="2"/>
      <x:c r="AH2" s="2"/>
    </x:row>
    <x:row r="3">
      <x:c r="A3" s="57" t="str">
        <x:v>Una fila por producto. El costo de gestión se repite; suma Costo línea.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  <x:c r="AA3" s="57"/>
      <x:c r="AB3" s="57"/>
      <x:c r="AC3" s="57"/>
      <x:c r="AD3" s="57"/>
      <x:c r="AE3" s="2"/>
      <x:c r="AF3" s="2"/>
      <x:c r="AG3" s="2"/>
      <x:c r="AH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ht="30" customHeight="1">
      <x:c r="A5" s="58" t="str">
        <x:v>Gestión</x:v>
      </x:c>
      <x:c r="B5" s="58" t="str">
        <x:v>Fecha registro</x:v>
      </x:c>
      <x:c r="C5" s="58" t="str">
        <x:v>Sede</x:v>
      </x:c>
      <x:c r="D5" s="58" t="str">
        <x:v>Gestor N1</x:v>
      </x:c>
      <x:c r="E5" s="58" t="str">
        <x:v>Gestor N2</x:v>
      </x:c>
      <x:c r="F5" s="58" t="str">
        <x:v>Gestor N4</x:v>
      </x:c>
      <x:c r="G5" s="58" t="str">
        <x:v>Liquidadora</x:v>
      </x:c>
      <x:c r="H5" s="58" t="str">
        <x:v>Factura</x:v>
      </x:c>
      <x:c r="I5" s="58" t="str">
        <x:v>Cliente</x:v>
      </x:c>
      <x:c r="J5" s="58" t="str">
        <x:v>Código</x:v>
      </x:c>
      <x:c r="K5" s="58" t="str">
        <x:v>Descripción</x:v>
      </x:c>
      <x:c r="L5" s="58" t="str">
        <x:v>Cantidad</x:v>
      </x:c>
      <x:c r="M5" s="58" t="str">
        <x:v>Observación</x:v>
      </x:c>
      <x:c r="N5" s="58" t="str">
        <x:v>Bodega origen</x:v>
      </x:c>
      <x:c r="O5" s="58" t="str">
        <x:v>Bodega destino</x:v>
      </x:c>
      <x:c r="P5" s="58" t="str">
        <x:v>Estado</x:v>
      </x:c>
      <x:c r="Q5" s="58" t="str">
        <x:v>Entrega liquidadora</x:v>
      </x:c>
      <x:c r="R5" s="58" t="str">
        <x:v>Nota débito</x:v>
      </x:c>
      <x:c r="S5" s="58" t="str">
        <x:v>Ingreso GP</x:v>
      </x:c>
      <x:c r="T5" s="58" t="str">
        <x:v>Finalizada</x:v>
      </x:c>
      <x:c r="U5" s="58" t="str">
        <x:v>N1–N2 (h)</x:v>
      </x:c>
      <x:c r="V5" s="58" t="str">
        <x:v>N2–N3 (h)</x:v>
      </x:c>
      <x:c r="W5" s="58" t="str">
        <x:v>N3–N4 (h)</x:v>
      </x:c>
      <x:c r="X5" s="58" t="str">
        <x:v>N1–N4 (h)</x:v>
      </x:c>
      <x:c r="Y5" s="58" t="str">
        <x:v>Responsable actual</x:v>
      </x:c>
      <x:c r="Z5" s="58" t="str">
        <x:v>Comentarios</x:v>
      </x:c>
      <x:c r="AA5" s="58" t="str">
        <x:v>Conteo SKU</x:v>
      </x:c>
      <x:c r="AB5" s="58" t="str">
        <x:v>Costo unitario (L)</x:v>
      </x:c>
      <x:c r="AC5" s="58" t="str">
        <x:v>Costo línea (L)</x:v>
      </x:c>
      <x:c r="AD5" s="58" t="str">
        <x:v>Costo gestión (L)</x:v>
      </x:c>
      <x:c r="AE5" s="2"/>
      <x:c r="AF5" s="2"/>
      <x:c r="AG5" s="2"/>
      <x:c r="AH5" s="2"/>
    </x:row>
    <x:row r="6" ht="23" customHeight="1">
      <x:c r="A6" s="63"/>
      <x:c r="B6" s="59"/>
      <x:c r="C6" s="2"/>
      <x:c r="D6" s="2"/>
      <x:c r="E6" s="2"/>
      <x:c r="F6" s="2"/>
      <x:c r="G6" s="2"/>
      <x:c r="H6" s="63"/>
      <x:c r="I6" s="2"/>
      <x:c r="J6" s="63"/>
      <x:c r="K6" s="2"/>
      <x:c r="L6" s="2"/>
      <x:c r="M6" s="2"/>
      <x:c r="N6" s="2"/>
      <x:c r="O6" s="2"/>
      <x:c r="P6" s="2"/>
      <x:c r="Q6" s="59"/>
      <x:c r="R6" s="59"/>
      <x:c r="S6" s="59"/>
      <x:c r="T6" s="59"/>
      <x:c r="U6" s="50"/>
      <x:c r="V6" s="50"/>
      <x:c r="W6" s="50"/>
      <x:c r="X6" s="50"/>
      <x:c r="Y6" s="2"/>
      <x:c r="Z6" s="2"/>
      <x:c r="AA6" s="2"/>
      <x:c r="AB6" s="51"/>
      <x:c r="AC6" s="51"/>
      <x:c r="AD6" s="51"/>
      <x:c r="AE6" s="2"/>
      <x:c r="AF6" s="2"/>
      <x:c r="AG6" s="2"/>
      <x:c r="AH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</x:sheetData>
  <x:mergeCells>
    <x:mergeCell ref="A1:AD1"/>
    <x:mergeCell ref="A2:AD2"/>
    <x:mergeCell ref="A3:AD3"/>
  </x:mergeCells>
  <x:pageMargins left="0.7" right="0.7" top="0.75" bottom="0.75" header="0.3" footer="0.3"/>
  <x:tableParts count="1">
    <x:tablePart xmlns:r="http://schemas.openxmlformats.org/officeDocument/2006/relationships" r:id="Rdc55b18d01124f03"/>
  </x:tableParts>
</x:worksheet>
</file>